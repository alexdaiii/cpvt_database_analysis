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/>
  <mc:AlternateContent xmlns:mc="http://schemas.openxmlformats.org/markup-compatibility/2006">
    <mc:Choice Requires="x15">
      <x15ac:absPath xmlns:x15ac="http://schemas.microsoft.com/office/spreadsheetml/2010/11/ac" url="https://cumccolumbia-my.sharepoint.com/personal/ac4294_cumc_columbia_edu/Documents/documents/papers/ryr_database/AHA_circulation-r1/risk of bias/rob_analysis/"/>
    </mc:Choice>
  </mc:AlternateContent>
  <xr:revisionPtr revIDLastSave="160" documentId="11_0B1D56BE9CDCCE836B02CE7A5FB0D4A9BBFD1C62" xr6:coauthVersionLast="47" xr6:coauthVersionMax="47" xr10:uidLastSave="{3D859C3E-D9A4-0E4F-9340-DAA1C667F958}"/>
  <bookViews>
    <workbookView xWindow="25600" yWindow="500" windowWidth="25600" windowHeight="28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F18" i="1"/>
  <c r="G17" i="1"/>
  <c r="F17" i="1"/>
  <c r="G16" i="1"/>
  <c r="F16" i="1"/>
  <c r="G15" i="1"/>
  <c r="F15" i="1"/>
  <c r="G14" i="1"/>
  <c r="G13" i="1"/>
  <c r="G12" i="1"/>
  <c r="G11" i="1"/>
  <c r="G10" i="1"/>
</calcChain>
</file>

<file path=xl/sharedStrings.xml><?xml version="1.0" encoding="utf-8"?>
<sst xmlns="http://schemas.openxmlformats.org/spreadsheetml/2006/main" count="305" uniqueCount="105">
  <si>
    <t>publication_id</t>
  </si>
  <si>
    <t>title</t>
  </si>
  <si>
    <t>first_author</t>
  </si>
  <si>
    <t>doi</t>
  </si>
  <si>
    <t>resource_uri</t>
  </si>
  <si>
    <t>doi_hyperlink</t>
  </si>
  <si>
    <t>is_abstract</t>
  </si>
  <si>
    <t>publication_class</t>
  </si>
  <si>
    <t>1. Was the research question or objective in this paper clearly stated and appropriate?</t>
  </si>
  <si>
    <t>2. Was the study population clearly specified and defined?</t>
  </si>
  <si>
    <t>3. Did the authors include a sample size justification?</t>
  </si>
  <si>
    <t>4. Were controls selected or recruited from the same or similar population that gave rise to the cases (including the same timeframe)?</t>
  </si>
  <si>
    <t>5. Were the definitions, inclusion and exclusion criteria, algorithms or processes used to identify or select cases and controls valid, reliable, and implemented consistently across all study participants?</t>
  </si>
  <si>
    <t>6. Were the cases clearly defined and differentiated from controls?</t>
  </si>
  <si>
    <t>7. If less than 100 percent of eligible cases and/or controls were selected for the study, were the cases and/or controls randomly selected from those eligible?</t>
  </si>
  <si>
    <t>8. Was there use of concurrent controls?</t>
  </si>
  <si>
    <t>9. Were the investigators able to confirm that the exposure/risk occurred prior to the development of the condition or event that defined a participant as a case?</t>
  </si>
  <si>
    <t>10. Were the measures of exposure/risk clearly defined, valid, reliable, and implemented consistently (including the same time period) across all study participants?</t>
  </si>
  <si>
    <t>11. Were the assessors of exposure/risk blinded to the case or control status of participants?</t>
  </si>
  <si>
    <t>12. Were key potential confounding variables measured and adjusted statistically in the analyses? If matching was used, did the investigators account for matching during study analysis?</t>
  </si>
  <si>
    <t>Mutations of the Cardiac Ryanodine Receptor (RyR2) Gene in Familial Polymorphic Ventricular Tachycardia</t>
  </si>
  <si>
    <t>Laitinen PJ</t>
  </si>
  <si>
    <t>10.1161/01.CIR.103.4.485</t>
  </si>
  <si>
    <t>https://pubmed.ncbi.nlm.nih.gov/11157710</t>
  </si>
  <si>
    <t>https://doi.org/10.1161/01.CIR.103.4.485</t>
  </si>
  <si>
    <t>YES</t>
  </si>
  <si>
    <t>NO</t>
  </si>
  <si>
    <t>CD</t>
  </si>
  <si>
    <t>NA</t>
  </si>
  <si>
    <t>Molecular genetics of exercise-induced polymorphic ventricular tachycardia: identification of three novel cardiac ryanodine receptor mutations and two common calsequestrin 2 amino-acid polymorphisms.</t>
  </si>
  <si>
    <t>10.1038/sj.ejhg.5201061</t>
  </si>
  <si>
    <t>https://pubmed.ncbi.nlm.nih.gov/14571276</t>
  </si>
  <si>
    <t>https://doi.org/10.1038/sj.ejhg.5201061</t>
  </si>
  <si>
    <t>Cardiac genetic disposition in sudden infant death syndrome</t>
  </si>
  <si>
    <t>Tester, D.J.</t>
  </si>
  <si>
    <t>10.1016/j.jacc.2018.01.030</t>
  </si>
  <si>
    <t>https://pubmed.ncbi.nlm.nih.gov/29544605</t>
  </si>
  <si>
    <t>https://doi.org/10.1016/j.jacc.2018.01.030</t>
  </si>
  <si>
    <t>Utility of post-mortem genetic testing in cases of sudden arrhythmic death syndrome</t>
  </si>
  <si>
    <t>Lahrouchi, N.</t>
  </si>
  <si>
    <t>10.1016/j.jacc.2017.02.046</t>
  </si>
  <si>
    <t>https://pubmed.ncbi.nlm.nih.gov/28449774</t>
  </si>
  <si>
    <t>https://doi.org/10.1016/j.jacc.2017.02.046</t>
  </si>
  <si>
    <t>Genetic analysis of hyperemesis gravidarum reveals association with intracellular calcium release channel (RyR2)</t>
  </si>
  <si>
    <t>Fejzo, MS</t>
  </si>
  <si>
    <t>10.1016/j.mce.2016.09.017</t>
  </si>
  <si>
    <t>https://pubmed.ncbi.nlm.nih.gov/27663074</t>
  </si>
  <si>
    <t>https://doi.org/10.1016/j.mce.2016.09.017</t>
  </si>
  <si>
    <t>NM</t>
  </si>
  <si>
    <t>De novo mutations in moderate or severe intellectual disability.</t>
  </si>
  <si>
    <t>Hamdan FF</t>
  </si>
  <si>
    <t>10.1371/journal.pgen.1004772</t>
  </si>
  <si>
    <t>https://pubmed.ncbi.nlm.nih.gov/25356899</t>
  </si>
  <si>
    <t>https://doi.org/10.1371/journal.pgen.1004772</t>
  </si>
  <si>
    <t>Interpreting incidentally identified variants in genes associated with catecholaminergic polymorphic ventricular tachycardia in a large cohort of clinical whole exome genetic test referrals</t>
  </si>
  <si>
    <t>Landstrom, AP</t>
  </si>
  <si>
    <t>10.1161/CIRCEP.116.004742</t>
  </si>
  <si>
    <t>https://pubmed.ncbi.nlm.nih.gov/28404607</t>
  </si>
  <si>
    <t>https://doi.org/10.1161/CIRCEP.116.004742</t>
  </si>
  <si>
    <t>Novel rare variants in congenital cardiac arrhythmia genes are frequent in drug-induced torsades de pointes</t>
  </si>
  <si>
    <t>Ramirez AH</t>
  </si>
  <si>
    <t>10.1038/tpj.2012.14</t>
  </si>
  <si>
    <t>https://pubmed.ncbi.nlm.nih.gov/22584458</t>
  </si>
  <si>
    <t>https://doi.org/10.1038/tpj.2012.14</t>
  </si>
  <si>
    <t>Postmortem genetic analysis of sudden unexplained death syndrome under 50 years of age: A next-generation sequencing study</t>
  </si>
  <si>
    <t>Hata, Y.</t>
  </si>
  <si>
    <t>10.1016/j.hrthm.2016.03.038</t>
  </si>
  <si>
    <t>https://pubmed.ncbi.nlm.nih.gov/27005929</t>
  </si>
  <si>
    <t>https://doi.org/10.1016/j.hrthm.2016.03.038</t>
  </si>
  <si>
    <t>Spectrum and prevalence of cardiac ryanodine receptor (RyR2) mutations in a cohort of unrelated patients referred explicitly for Long QT Syndrome genetic testing</t>
  </si>
  <si>
    <t>Tester, DJ</t>
  </si>
  <si>
    <t>10.1016/j.hrthm.2005.07.012</t>
  </si>
  <si>
    <t>https://pubmed.ncbi.nlm.nih.gov/16188589</t>
  </si>
  <si>
    <t>https://doi.org/10.1016/j.hrthm.2005.07.012</t>
  </si>
  <si>
    <t xml:space="preserve">Human cardiac ryanodine receptor mutations in ion channel disorders in Japan </t>
  </si>
  <si>
    <t>Aizawa, Y</t>
  </si>
  <si>
    <t>10.1016/j.ijcard.2006.02.024</t>
  </si>
  <si>
    <t>https://pubmed.ncbi.nlm.nih.gov/16843546</t>
  </si>
  <si>
    <t>https://doi.org/10.1016/j.ijcard.2006.02.024</t>
  </si>
  <si>
    <t>Spectrum and frequency of cardiac channel defects in swimming-triggered arrhythmia syndromes.</t>
  </si>
  <si>
    <t>Choi, G</t>
  </si>
  <si>
    <t>10.1161/01.CIR.0000144471.98080.CA</t>
  </si>
  <si>
    <t>https://pubmed.ncbi.nlm.nih.gov/15466642</t>
  </si>
  <si>
    <t>https://doi.org/10.1161/01.CIR.0000144471.98080.CA</t>
  </si>
  <si>
    <t>Molecular genetic analysis of long QT syndrome in Norway indicating a high prevalence of Heterozygous mutation carriers</t>
  </si>
  <si>
    <t>Berge, KE</t>
  </si>
  <si>
    <t>10.1080/00365510701765643</t>
  </si>
  <si>
    <t>https://pubmed.ncbi.nlm.nih.gov/18752142</t>
  </si>
  <si>
    <t>https://doi.org/10.1080/00365510701765643</t>
  </si>
  <si>
    <t>Postmortem genetic testing of the ryanodine receptor 2 (RYR2) gene in a cohort of sudden unexplained death cases</t>
  </si>
  <si>
    <t>Larsen, MK</t>
  </si>
  <si>
    <t>10.1007/s00414-011-0658-2</t>
  </si>
  <si>
    <t>https://pubmed.ncbi.nlm.nih.gov/22222782</t>
  </si>
  <si>
    <t>Candidate colorectal cancer predisposing gene variants in Chinese early-onset and familial cases</t>
  </si>
  <si>
    <t>Zhang, JX</t>
  </si>
  <si>
    <t>10.3748/wjg.v21.i14.4136</t>
  </si>
  <si>
    <t>https://pubmed.ncbi.nlm.nih.gov/25892863</t>
  </si>
  <si>
    <t>Genetic investigations of sudden unexpected deaths in infancy using next-generation sequencing of 100 genes associated with cardiac diseases</t>
  </si>
  <si>
    <t>Hertz, CL</t>
  </si>
  <si>
    <t>10.1038/ejhg.2015.198</t>
  </si>
  <si>
    <t>N/A</t>
  </si>
  <si>
    <t>Phenotype-driven molecular autopsy for sudden cardiac death</t>
  </si>
  <si>
    <t>Cann, F.</t>
  </si>
  <si>
    <t>10.1111/cge.12778</t>
  </si>
  <si>
    <t>https://pubmed.ncbi.nlm.nih.gov/27000522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</si>
</sst>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0" fillId="0" borderId="0" xfId="0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"/>
  <sheetViews>
    <sheetView tabSelected="1" workbookViewId="0">
      <selection activeCell="K25" sqref="K25"/>
    </sheetView>
  </sheetViews>
  <sheetFormatPr baseColWidth="10" defaultColWidth="8.83203125" defaultRowHeight="15" x14ac:dyDescent="0.2"/>
  <cols>
    <col min="9" max="20" width="17.83203125" customWidth="1"/>
  </cols>
  <sheetData>
    <row r="1" spans="1:20" s="2" customFormat="1" ht="17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2">
      <c r="A2">
        <v>59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b">
        <v>0</v>
      </c>
      <c r="H2">
        <v>5</v>
      </c>
      <c r="I2" t="s">
        <v>25</v>
      </c>
      <c r="J2" t="s">
        <v>25</v>
      </c>
      <c r="K2" t="s">
        <v>26</v>
      </c>
      <c r="L2" t="s">
        <v>25</v>
      </c>
      <c r="M2" t="s">
        <v>27</v>
      </c>
      <c r="N2" t="s">
        <v>25</v>
      </c>
      <c r="O2" t="s">
        <v>28</v>
      </c>
      <c r="P2" t="s">
        <v>26</v>
      </c>
      <c r="Q2" t="s">
        <v>25</v>
      </c>
      <c r="R2" t="s">
        <v>25</v>
      </c>
      <c r="S2" t="s">
        <v>26</v>
      </c>
      <c r="T2" t="s">
        <v>26</v>
      </c>
    </row>
    <row r="3" spans="1:20" x14ac:dyDescent="0.2">
      <c r="A3">
        <v>80</v>
      </c>
      <c r="B3" t="s">
        <v>29</v>
      </c>
      <c r="C3" t="s">
        <v>21</v>
      </c>
      <c r="D3" t="s">
        <v>30</v>
      </c>
      <c r="E3" t="s">
        <v>31</v>
      </c>
      <c r="F3" t="s">
        <v>32</v>
      </c>
      <c r="G3" t="b">
        <v>0</v>
      </c>
      <c r="H3">
        <v>4</v>
      </c>
      <c r="I3" t="s">
        <v>25</v>
      </c>
      <c r="J3" t="s">
        <v>25</v>
      </c>
      <c r="K3" t="s">
        <v>26</v>
      </c>
      <c r="L3" t="s">
        <v>25</v>
      </c>
      <c r="M3" t="s">
        <v>27</v>
      </c>
      <c r="N3" t="s">
        <v>25</v>
      </c>
      <c r="O3" t="s">
        <v>28</v>
      </c>
      <c r="P3" t="s">
        <v>26</v>
      </c>
      <c r="Q3" t="s">
        <v>25</v>
      </c>
      <c r="R3" t="s">
        <v>25</v>
      </c>
      <c r="S3" t="s">
        <v>26</v>
      </c>
      <c r="T3" t="s">
        <v>26</v>
      </c>
    </row>
    <row r="4" spans="1:20" x14ac:dyDescent="0.2">
      <c r="A4">
        <v>109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t="b">
        <v>0</v>
      </c>
      <c r="H4">
        <v>5</v>
      </c>
      <c r="I4" t="s">
        <v>25</v>
      </c>
      <c r="J4" t="s">
        <v>25</v>
      </c>
      <c r="K4" t="s">
        <v>26</v>
      </c>
      <c r="L4" t="s">
        <v>26</v>
      </c>
      <c r="M4" t="s">
        <v>25</v>
      </c>
      <c r="N4" t="s">
        <v>25</v>
      </c>
      <c r="O4" t="s">
        <v>28</v>
      </c>
      <c r="P4" t="s">
        <v>26</v>
      </c>
      <c r="Q4" t="s">
        <v>25</v>
      </c>
      <c r="R4" t="s">
        <v>25</v>
      </c>
      <c r="S4" t="s">
        <v>26</v>
      </c>
      <c r="T4" t="s">
        <v>26</v>
      </c>
    </row>
    <row r="5" spans="1:20" x14ac:dyDescent="0.2">
      <c r="A5">
        <v>116</v>
      </c>
      <c r="B5" t="s">
        <v>38</v>
      </c>
      <c r="C5" t="s">
        <v>39</v>
      </c>
      <c r="D5" t="s">
        <v>40</v>
      </c>
      <c r="E5" t="s">
        <v>41</v>
      </c>
      <c r="F5" t="s">
        <v>42</v>
      </c>
      <c r="G5" t="b">
        <v>0</v>
      </c>
      <c r="H5">
        <v>5</v>
      </c>
      <c r="I5" t="s">
        <v>25</v>
      </c>
      <c r="J5" t="s">
        <v>25</v>
      </c>
      <c r="K5" t="s">
        <v>26</v>
      </c>
      <c r="L5" t="s">
        <v>26</v>
      </c>
      <c r="M5" t="s">
        <v>25</v>
      </c>
      <c r="N5" t="s">
        <v>25</v>
      </c>
      <c r="O5" t="s">
        <v>28</v>
      </c>
      <c r="P5" t="s">
        <v>26</v>
      </c>
      <c r="Q5" t="s">
        <v>25</v>
      </c>
      <c r="R5" t="s">
        <v>25</v>
      </c>
      <c r="S5" t="s">
        <v>26</v>
      </c>
      <c r="T5" t="s">
        <v>25</v>
      </c>
    </row>
    <row r="6" spans="1:20" x14ac:dyDescent="0.2">
      <c r="A6">
        <v>712</v>
      </c>
      <c r="B6" t="s">
        <v>43</v>
      </c>
      <c r="C6" t="s">
        <v>44</v>
      </c>
      <c r="D6" t="s">
        <v>45</v>
      </c>
      <c r="E6" t="s">
        <v>46</v>
      </c>
      <c r="F6" t="s">
        <v>47</v>
      </c>
      <c r="G6" t="b">
        <v>0</v>
      </c>
      <c r="H6">
        <v>5</v>
      </c>
      <c r="I6" t="s">
        <v>25</v>
      </c>
      <c r="J6" t="s">
        <v>25</v>
      </c>
      <c r="K6" t="s">
        <v>26</v>
      </c>
      <c r="L6" t="s">
        <v>25</v>
      </c>
      <c r="M6" t="s">
        <v>25</v>
      </c>
      <c r="N6" t="s">
        <v>25</v>
      </c>
      <c r="O6" t="s">
        <v>28</v>
      </c>
      <c r="P6" t="s">
        <v>26</v>
      </c>
      <c r="Q6" t="s">
        <v>25</v>
      </c>
      <c r="R6" t="s">
        <v>25</v>
      </c>
      <c r="S6" t="s">
        <v>48</v>
      </c>
      <c r="T6" t="s">
        <v>48</v>
      </c>
    </row>
    <row r="7" spans="1:20" x14ac:dyDescent="0.2">
      <c r="A7" s="3">
        <v>813</v>
      </c>
      <c r="B7" s="3" t="s">
        <v>49</v>
      </c>
      <c r="C7" s="3" t="s">
        <v>50</v>
      </c>
      <c r="D7" s="3" t="s">
        <v>51</v>
      </c>
      <c r="E7" s="3" t="s">
        <v>52</v>
      </c>
      <c r="F7" s="3" t="s">
        <v>53</v>
      </c>
      <c r="G7" t="b">
        <v>0</v>
      </c>
      <c r="H7">
        <v>5</v>
      </c>
      <c r="I7" t="s">
        <v>25</v>
      </c>
      <c r="J7" t="s">
        <v>25</v>
      </c>
      <c r="K7" t="s">
        <v>26</v>
      </c>
      <c r="L7" t="s">
        <v>27</v>
      </c>
      <c r="M7" t="s">
        <v>25</v>
      </c>
      <c r="N7" t="s">
        <v>25</v>
      </c>
      <c r="O7" t="s">
        <v>28</v>
      </c>
      <c r="P7" t="s">
        <v>26</v>
      </c>
      <c r="Q7" t="s">
        <v>25</v>
      </c>
      <c r="R7" t="s">
        <v>25</v>
      </c>
      <c r="S7" t="s">
        <v>26</v>
      </c>
      <c r="T7" t="s">
        <v>25</v>
      </c>
    </row>
    <row r="8" spans="1:20" x14ac:dyDescent="0.2">
      <c r="A8">
        <v>845</v>
      </c>
      <c r="B8" t="s">
        <v>54</v>
      </c>
      <c r="C8" t="s">
        <v>55</v>
      </c>
      <c r="D8" t="s">
        <v>56</v>
      </c>
      <c r="E8" t="s">
        <v>57</v>
      </c>
      <c r="F8" t="s">
        <v>58</v>
      </c>
      <c r="G8" t="b">
        <v>0</v>
      </c>
      <c r="H8">
        <v>5</v>
      </c>
      <c r="I8" t="s">
        <v>25</v>
      </c>
      <c r="J8" t="s">
        <v>25</v>
      </c>
      <c r="K8" t="s">
        <v>26</v>
      </c>
      <c r="L8" t="s">
        <v>26</v>
      </c>
      <c r="M8" t="s">
        <v>25</v>
      </c>
      <c r="N8" t="s">
        <v>25</v>
      </c>
      <c r="O8" t="s">
        <v>28</v>
      </c>
      <c r="P8" t="s">
        <v>26</v>
      </c>
      <c r="Q8" t="s">
        <v>25</v>
      </c>
      <c r="R8" t="s">
        <v>25</v>
      </c>
      <c r="S8" t="s">
        <v>48</v>
      </c>
      <c r="T8" t="s">
        <v>26</v>
      </c>
    </row>
    <row r="9" spans="1:20" x14ac:dyDescent="0.2">
      <c r="A9" s="3">
        <v>1142</v>
      </c>
      <c r="B9" s="3" t="s">
        <v>59</v>
      </c>
      <c r="C9" s="3" t="s">
        <v>60</v>
      </c>
      <c r="D9" s="3" t="s">
        <v>61</v>
      </c>
      <c r="E9" s="3" t="s">
        <v>62</v>
      </c>
      <c r="F9" s="3" t="s">
        <v>63</v>
      </c>
      <c r="G9" t="b">
        <v>0</v>
      </c>
      <c r="H9">
        <v>5</v>
      </c>
      <c r="I9" t="s">
        <v>25</v>
      </c>
      <c r="J9" t="s">
        <v>25</v>
      </c>
      <c r="K9" t="s">
        <v>26</v>
      </c>
      <c r="L9" t="s">
        <v>26</v>
      </c>
      <c r="M9" t="s">
        <v>25</v>
      </c>
      <c r="N9" t="s">
        <v>25</v>
      </c>
      <c r="O9" t="s">
        <v>28</v>
      </c>
      <c r="P9" t="s">
        <v>26</v>
      </c>
      <c r="Q9" t="s">
        <v>25</v>
      </c>
      <c r="R9" t="s">
        <v>25</v>
      </c>
      <c r="S9" t="s">
        <v>26</v>
      </c>
      <c r="T9" t="s">
        <v>26</v>
      </c>
    </row>
    <row r="10" spans="1:20" x14ac:dyDescent="0.2">
      <c r="A10" s="5">
        <v>26</v>
      </c>
      <c r="B10" s="6" t="s">
        <v>64</v>
      </c>
      <c r="C10" s="6" t="s">
        <v>65</v>
      </c>
      <c r="D10" s="6" t="s">
        <v>66</v>
      </c>
      <c r="E10" s="6" t="s">
        <v>67</v>
      </c>
      <c r="F10" s="6" t="s">
        <v>68</v>
      </c>
      <c r="G10" s="5" t="b">
        <f t="shared" ref="G10:G18" si="0">IF(H10=1,TRUE,FALSE)</f>
        <v>0</v>
      </c>
      <c r="H10" s="5">
        <v>5</v>
      </c>
      <c r="I10" s="6" t="s">
        <v>25</v>
      </c>
      <c r="J10" s="6" t="s">
        <v>25</v>
      </c>
      <c r="K10" t="s">
        <v>26</v>
      </c>
      <c r="L10" t="s">
        <v>25</v>
      </c>
      <c r="M10" t="s">
        <v>25</v>
      </c>
      <c r="N10" t="s">
        <v>25</v>
      </c>
      <c r="O10" t="s">
        <v>28</v>
      </c>
      <c r="P10" t="s">
        <v>26</v>
      </c>
      <c r="Q10" t="s">
        <v>25</v>
      </c>
      <c r="R10" t="s">
        <v>25</v>
      </c>
      <c r="S10" t="s">
        <v>26</v>
      </c>
      <c r="T10" t="s">
        <v>26</v>
      </c>
    </row>
    <row r="11" spans="1:20" x14ac:dyDescent="0.2">
      <c r="A11" s="6">
        <v>141</v>
      </c>
      <c r="B11" s="5" t="s">
        <v>69</v>
      </c>
      <c r="C11" s="5" t="s">
        <v>70</v>
      </c>
      <c r="D11" s="5" t="s">
        <v>71</v>
      </c>
      <c r="E11" s="5" t="s">
        <v>72</v>
      </c>
      <c r="F11" s="5" t="s">
        <v>73</v>
      </c>
      <c r="G11" s="5" t="b">
        <f t="shared" si="0"/>
        <v>0</v>
      </c>
      <c r="H11" s="5">
        <v>5</v>
      </c>
      <c r="I11" s="6" t="s">
        <v>25</v>
      </c>
      <c r="J11" s="6" t="s">
        <v>25</v>
      </c>
      <c r="K11" t="s">
        <v>26</v>
      </c>
      <c r="L11" t="s">
        <v>26</v>
      </c>
      <c r="M11" t="s">
        <v>25</v>
      </c>
      <c r="N11" t="s">
        <v>25</v>
      </c>
      <c r="O11" t="s">
        <v>28</v>
      </c>
      <c r="P11" t="s">
        <v>26</v>
      </c>
      <c r="Q11" t="s">
        <v>25</v>
      </c>
      <c r="R11" t="s">
        <v>25</v>
      </c>
      <c r="S11" t="s">
        <v>26</v>
      </c>
      <c r="T11" t="s">
        <v>26</v>
      </c>
    </row>
    <row r="12" spans="1:20" x14ac:dyDescent="0.2">
      <c r="A12" s="5">
        <v>171</v>
      </c>
      <c r="B12" s="5" t="s">
        <v>74</v>
      </c>
      <c r="C12" s="5" t="s">
        <v>75</v>
      </c>
      <c r="D12" s="5" t="s">
        <v>76</v>
      </c>
      <c r="E12" s="5" t="s">
        <v>77</v>
      </c>
      <c r="F12" s="5" t="s">
        <v>78</v>
      </c>
      <c r="G12" s="5" t="b">
        <f t="shared" si="0"/>
        <v>0</v>
      </c>
      <c r="H12" s="5">
        <v>3</v>
      </c>
      <c r="I12" s="6" t="s">
        <v>25</v>
      </c>
      <c r="J12" s="6" t="s">
        <v>25</v>
      </c>
      <c r="K12" t="s">
        <v>26</v>
      </c>
      <c r="L12" t="s">
        <v>26</v>
      </c>
      <c r="M12" t="s">
        <v>27</v>
      </c>
      <c r="N12" t="s">
        <v>25</v>
      </c>
      <c r="O12" t="s">
        <v>28</v>
      </c>
      <c r="P12" t="s">
        <v>26</v>
      </c>
      <c r="Q12" t="s">
        <v>25</v>
      </c>
      <c r="R12" t="s">
        <v>25</v>
      </c>
      <c r="S12" t="s">
        <v>26</v>
      </c>
      <c r="T12" t="s">
        <v>26</v>
      </c>
    </row>
    <row r="13" spans="1:20" x14ac:dyDescent="0.2">
      <c r="A13" s="5">
        <v>343</v>
      </c>
      <c r="B13" s="5" t="s">
        <v>79</v>
      </c>
      <c r="C13" s="5" t="s">
        <v>80</v>
      </c>
      <c r="D13" s="5" t="s">
        <v>81</v>
      </c>
      <c r="E13" s="5" t="s">
        <v>82</v>
      </c>
      <c r="F13" s="5" t="s">
        <v>83</v>
      </c>
      <c r="G13" s="5" t="b">
        <f t="shared" si="0"/>
        <v>0</v>
      </c>
      <c r="H13" s="5">
        <v>5</v>
      </c>
      <c r="I13" s="6" t="s">
        <v>25</v>
      </c>
      <c r="J13" s="6" t="s">
        <v>25</v>
      </c>
      <c r="K13" t="s">
        <v>26</v>
      </c>
      <c r="L13" t="s">
        <v>26</v>
      </c>
      <c r="M13" t="s">
        <v>25</v>
      </c>
      <c r="N13" t="s">
        <v>25</v>
      </c>
      <c r="O13" t="s">
        <v>28</v>
      </c>
      <c r="P13" t="s">
        <v>26</v>
      </c>
      <c r="Q13" t="s">
        <v>25</v>
      </c>
      <c r="R13" t="s">
        <v>25</v>
      </c>
      <c r="S13" t="s">
        <v>26</v>
      </c>
      <c r="T13" t="s">
        <v>26</v>
      </c>
    </row>
    <row r="14" spans="1:20" x14ac:dyDescent="0.2">
      <c r="A14" s="5">
        <v>352</v>
      </c>
      <c r="B14" s="5" t="s">
        <v>84</v>
      </c>
      <c r="C14" s="5" t="s">
        <v>85</v>
      </c>
      <c r="D14" s="5" t="s">
        <v>86</v>
      </c>
      <c r="E14" s="5" t="s">
        <v>87</v>
      </c>
      <c r="F14" s="5" t="s">
        <v>88</v>
      </c>
      <c r="G14" s="5" t="b">
        <f t="shared" si="0"/>
        <v>0</v>
      </c>
      <c r="H14" s="5">
        <v>5</v>
      </c>
      <c r="I14" s="6" t="s">
        <v>25</v>
      </c>
      <c r="J14" s="6" t="s">
        <v>25</v>
      </c>
      <c r="K14" t="s">
        <v>26</v>
      </c>
      <c r="L14" t="s">
        <v>27</v>
      </c>
      <c r="M14" t="s">
        <v>25</v>
      </c>
      <c r="N14" t="s">
        <v>25</v>
      </c>
      <c r="O14" t="s">
        <v>28</v>
      </c>
      <c r="P14" t="s">
        <v>26</v>
      </c>
      <c r="Q14" t="s">
        <v>25</v>
      </c>
      <c r="R14" t="s">
        <v>25</v>
      </c>
      <c r="S14" t="s">
        <v>26</v>
      </c>
      <c r="T14" t="s">
        <v>26</v>
      </c>
    </row>
    <row r="15" spans="1:20" x14ac:dyDescent="0.2">
      <c r="A15" s="6">
        <v>472</v>
      </c>
      <c r="B15" s="6" t="s">
        <v>89</v>
      </c>
      <c r="C15" s="6" t="s">
        <v>90</v>
      </c>
      <c r="D15" s="6" t="s">
        <v>91</v>
      </c>
      <c r="E15" s="6" t="s">
        <v>92</v>
      </c>
      <c r="F15" s="5" t="str">
        <f t="shared" ref="F15:F18" si="1">IF(D15&lt;&gt;"N/A",_xlfn.CONCAT("https://doi.org/",D15),"")</f>
        <v>https://doi.org/10.1007/s00414-011-0658-2</v>
      </c>
      <c r="G15" s="5" t="b">
        <f t="shared" si="0"/>
        <v>0</v>
      </c>
      <c r="H15" s="5">
        <v>5</v>
      </c>
      <c r="I15" s="6" t="s">
        <v>25</v>
      </c>
      <c r="J15" s="6" t="s">
        <v>25</v>
      </c>
      <c r="K15" t="s">
        <v>26</v>
      </c>
      <c r="L15" t="s">
        <v>25</v>
      </c>
      <c r="M15" t="s">
        <v>25</v>
      </c>
      <c r="N15" t="s">
        <v>25</v>
      </c>
      <c r="O15" t="s">
        <v>28</v>
      </c>
      <c r="P15" t="s">
        <v>26</v>
      </c>
      <c r="Q15" t="s">
        <v>25</v>
      </c>
      <c r="R15" t="s">
        <v>25</v>
      </c>
      <c r="S15" t="s">
        <v>26</v>
      </c>
      <c r="T15" t="s">
        <v>26</v>
      </c>
    </row>
    <row r="16" spans="1:20" x14ac:dyDescent="0.2">
      <c r="A16" s="6">
        <v>748</v>
      </c>
      <c r="B16" s="6" t="s">
        <v>93</v>
      </c>
      <c r="C16" s="6" t="s">
        <v>94</v>
      </c>
      <c r="D16" s="6" t="s">
        <v>95</v>
      </c>
      <c r="E16" s="6" t="s">
        <v>96</v>
      </c>
      <c r="F16" s="5" t="str">
        <f t="shared" si="1"/>
        <v>https://doi.org/10.3748/wjg.v21.i14.4136</v>
      </c>
      <c r="G16" s="5" t="b">
        <f t="shared" si="0"/>
        <v>0</v>
      </c>
      <c r="H16" s="5">
        <v>5</v>
      </c>
      <c r="I16" s="6" t="s">
        <v>25</v>
      </c>
      <c r="J16" s="6" t="s">
        <v>25</v>
      </c>
      <c r="K16" t="s">
        <v>26</v>
      </c>
      <c r="L16" t="s">
        <v>25</v>
      </c>
      <c r="M16" t="s">
        <v>25</v>
      </c>
      <c r="N16" t="s">
        <v>25</v>
      </c>
      <c r="O16" t="s">
        <v>28</v>
      </c>
      <c r="P16" t="s">
        <v>26</v>
      </c>
      <c r="Q16" t="s">
        <v>25</v>
      </c>
      <c r="R16" t="s">
        <v>25</v>
      </c>
      <c r="S16" t="s">
        <v>26</v>
      </c>
      <c r="T16" t="s">
        <v>26</v>
      </c>
    </row>
    <row r="17" spans="1:20" x14ac:dyDescent="0.2">
      <c r="A17" s="6">
        <v>1055</v>
      </c>
      <c r="B17" s="6" t="s">
        <v>97</v>
      </c>
      <c r="C17" s="6" t="s">
        <v>98</v>
      </c>
      <c r="D17" s="6" t="s">
        <v>99</v>
      </c>
      <c r="E17" s="6" t="s">
        <v>100</v>
      </c>
      <c r="F17" s="5" t="str">
        <f t="shared" si="1"/>
        <v>https://doi.org/10.1038/ejhg.2015.198</v>
      </c>
      <c r="G17" s="5" t="b">
        <f t="shared" si="0"/>
        <v>0</v>
      </c>
      <c r="H17" s="5">
        <v>5</v>
      </c>
      <c r="I17" s="6" t="s">
        <v>25</v>
      </c>
      <c r="J17" s="6" t="s">
        <v>25</v>
      </c>
      <c r="K17" t="s">
        <v>26</v>
      </c>
      <c r="L17" t="s">
        <v>25</v>
      </c>
      <c r="M17" t="s">
        <v>25</v>
      </c>
      <c r="N17" t="s">
        <v>25</v>
      </c>
      <c r="O17" t="s">
        <v>28</v>
      </c>
      <c r="P17" t="s">
        <v>26</v>
      </c>
      <c r="Q17" t="s">
        <v>25</v>
      </c>
      <c r="R17" t="s">
        <v>25</v>
      </c>
      <c r="S17" t="s">
        <v>26</v>
      </c>
      <c r="T17" t="s">
        <v>26</v>
      </c>
    </row>
    <row r="18" spans="1:20" x14ac:dyDescent="0.2">
      <c r="A18" s="6">
        <v>1058</v>
      </c>
      <c r="B18" s="6" t="s">
        <v>101</v>
      </c>
      <c r="C18" s="6" t="s">
        <v>102</v>
      </c>
      <c r="D18" s="6" t="s">
        <v>103</v>
      </c>
      <c r="E18" s="6" t="s">
        <v>104</v>
      </c>
      <c r="F18" s="5" t="str">
        <f t="shared" si="1"/>
        <v>https://doi.org/10.1111/cge.12778</v>
      </c>
      <c r="G18" s="5" t="b">
        <f t="shared" si="0"/>
        <v>0</v>
      </c>
      <c r="H18" s="5">
        <v>5</v>
      </c>
      <c r="I18" s="6" t="s">
        <v>25</v>
      </c>
      <c r="J18" s="6" t="s">
        <v>25</v>
      </c>
      <c r="K18" t="s">
        <v>26</v>
      </c>
      <c r="L18" t="s">
        <v>27</v>
      </c>
      <c r="M18" t="s">
        <v>27</v>
      </c>
      <c r="N18" t="s">
        <v>25</v>
      </c>
      <c r="O18" t="s">
        <v>28</v>
      </c>
      <c r="P18" t="s">
        <v>26</v>
      </c>
      <c r="Q18" t="s">
        <v>25</v>
      </c>
      <c r="R18" t="s">
        <v>25</v>
      </c>
      <c r="S18" t="s">
        <v>26</v>
      </c>
      <c r="T1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2024-12-16T14:49:28Z</dcterms:created>
  <dcterms:modified xsi:type="dcterms:W3CDTF">2025-01-24T20:45:35Z</dcterms:modified>
  <cp:category/>
  <cp:contentStatus/>
</cp:coreProperties>
</file>