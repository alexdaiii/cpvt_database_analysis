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/>
  <mc:AlternateContent xmlns:mc="http://schemas.openxmlformats.org/markup-compatibility/2006">
    <mc:Choice Requires="x15">
      <x15ac:absPath xmlns:x15ac="http://schemas.microsoft.com/office/spreadsheetml/2010/11/ac" url="/Users/alex/dev/marks/2024/cpvt_database_analysis/analysis/data_commit/rob_analysis/"/>
    </mc:Choice>
  </mc:AlternateContent>
  <xr:revisionPtr revIDLastSave="0" documentId="13_ncr:1_{89231B67-C0CB-E345-8457-76EF65694FF0}" xr6:coauthVersionLast="47" xr6:coauthVersionMax="47" xr10:uidLastSave="{00000000-0000-0000-0000-000000000000}"/>
  <bookViews>
    <workbookView xWindow="25600" yWindow="500" windowWidth="25600" windowHeight="28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H8" i="1"/>
  <c r="H76" i="1"/>
  <c r="F76" i="1"/>
  <c r="F75" i="1"/>
  <c r="H75" i="1"/>
  <c r="H74" i="1"/>
  <c r="F74" i="1"/>
  <c r="F21" i="1"/>
  <c r="H2" i="1"/>
  <c r="H3" i="1"/>
  <c r="H4" i="1"/>
  <c r="H5" i="1"/>
  <c r="H6" i="1"/>
  <c r="H7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F3" i="1"/>
  <c r="F5" i="1"/>
  <c r="F6" i="1"/>
  <c r="F7" i="1"/>
  <c r="F9" i="1"/>
  <c r="F10" i="1"/>
  <c r="F11" i="1"/>
  <c r="F15" i="1"/>
  <c r="F16" i="1"/>
  <c r="F17" i="1"/>
  <c r="F18" i="1"/>
  <c r="F19" i="1"/>
  <c r="F22" i="1"/>
  <c r="F23" i="1"/>
  <c r="F24" i="1"/>
  <c r="F25" i="1"/>
  <c r="F26" i="1"/>
  <c r="F28" i="1"/>
  <c r="F29" i="1"/>
  <c r="F30" i="1"/>
  <c r="F31" i="1"/>
  <c r="F35" i="1"/>
  <c r="F37" i="1"/>
  <c r="F38" i="1"/>
  <c r="F42" i="1"/>
  <c r="F43" i="1"/>
  <c r="F44" i="1"/>
  <c r="F45" i="1"/>
  <c r="F46" i="1"/>
  <c r="F50" i="1"/>
  <c r="F52" i="1"/>
  <c r="F54" i="1"/>
  <c r="F56" i="1"/>
  <c r="F58" i="1"/>
  <c r="F60" i="1"/>
  <c r="F61" i="1"/>
  <c r="F62" i="1"/>
  <c r="F63" i="1"/>
  <c r="F65" i="1"/>
  <c r="F66" i="1"/>
  <c r="F70" i="1"/>
  <c r="F71" i="1"/>
  <c r="F72" i="1"/>
  <c r="F2" i="1"/>
</calcChain>
</file>

<file path=xl/sharedStrings.xml><?xml version="1.0" encoding="utf-8"?>
<sst xmlns="http://schemas.openxmlformats.org/spreadsheetml/2006/main" count="1017" uniqueCount="328">
  <si>
    <t>publication_id</t>
  </si>
  <si>
    <t>title</t>
  </si>
  <si>
    <t>first_author</t>
  </si>
  <si>
    <t>doi</t>
  </si>
  <si>
    <t>resource_uri</t>
  </si>
  <si>
    <t>doi_hyperlink</t>
  </si>
  <si>
    <t>is_abstract</t>
  </si>
  <si>
    <t>publication_class</t>
  </si>
  <si>
    <t>1. Was the study question or objective clearly stated? </t>
  </si>
  <si>
    <t>2. Was the study population clearly and fully described, including a case definition?</t>
  </si>
  <si>
    <t>3. Were the cases consecutive?</t>
  </si>
  <si>
    <t>4. Were the subjects comparable?</t>
  </si>
  <si>
    <t>5. Was the intervention clearly described?</t>
  </si>
  <si>
    <t>6. Were the outcome measures clearly defined, valid, reliable, and implemented consistently across all study participants?</t>
  </si>
  <si>
    <t>7. Was the length of follow-up adequate?</t>
  </si>
  <si>
    <t>8. Were the statistical methods well-described?</t>
  </si>
  <si>
    <t>9. Were the results well-described?</t>
  </si>
  <si>
    <t>YES</t>
  </si>
  <si>
    <t xml:space="preserve">YES </t>
  </si>
  <si>
    <t>Gender differences in the inheritance mode of RyR2 mutations in catecholaminergic polymorphic ventricular tachycardia patients</t>
  </si>
  <si>
    <t>Ohno, S.</t>
  </si>
  <si>
    <t>10.1371/journal.pone.0131517</t>
  </si>
  <si>
    <t>https://pubmed.ncbi.nlm.nih.gov/26114861</t>
  </si>
  <si>
    <t>NO</t>
  </si>
  <si>
    <t>CD</t>
  </si>
  <si>
    <t>Refractory tachyarrhythmias caused by ryanodine receptor type 2 gene mutation in two patients with left ventricular noncompaction</t>
  </si>
  <si>
    <t>Nozaki, Y.</t>
  </si>
  <si>
    <t>N/A</t>
  </si>
  <si>
    <t>https://www.embase.com/records?id=L71893770</t>
  </si>
  <si>
    <t>Familial dilated cardiomyopathy associated with a novel Heterozygous RyR2 early truncating variant</t>
  </si>
  <si>
    <t>10.5603/CJ.a2020.0099</t>
  </si>
  <si>
    <t>https://pubmed.ncbi.nlm.nih.gov/32748945</t>
  </si>
  <si>
    <t>https://doi.org/10.5603/CJ.a2020.0099</t>
  </si>
  <si>
    <t>NM</t>
  </si>
  <si>
    <t>NA</t>
  </si>
  <si>
    <t>Clinical characteristics and mutational analysis of the RyR2 gene in seven Czech families with catecholaminergic polymorphic ventricular tachycardia</t>
  </si>
  <si>
    <t>Andrsova, I.</t>
  </si>
  <si>
    <t>10.1111/j.1540-8159.2012.03399.x</t>
  </si>
  <si>
    <t>https://pubmed.ncbi.nlm.nih.gov/22519458</t>
  </si>
  <si>
    <t>Genetic characterization of familial CPVT after 30 years</t>
  </si>
  <si>
    <t>Beery, TA</t>
  </si>
  <si>
    <t>10.1177/1099800409333369</t>
  </si>
  <si>
    <t>https://pubmed.ncbi.nlm.nih.gov/19398417</t>
  </si>
  <si>
    <t>Cardiac channel molecular autopsy: insights from 173 consecutive cases of autopsy-negative sudden unexplained death referred for postmortem genetic testing.</t>
  </si>
  <si>
    <t>Tester DJ</t>
  </si>
  <si>
    <t>10.1016/j.mayocp.2012.02.017</t>
  </si>
  <si>
    <t>https://pubmed.ncbi.nlm.nih.gov/22677073</t>
  </si>
  <si>
    <t>Whole exome molecular autopsy following exertion-related sudden unexplained death in the young</t>
  </si>
  <si>
    <t>Anderson, JH</t>
  </si>
  <si>
    <t>10.1161/circgenetics.115.001370</t>
  </si>
  <si>
    <t>https://pubmed.ncbi.nlm.nih.gov/27114410</t>
  </si>
  <si>
    <t>Cardiac channelopathies in pediatric patients - 7-years single center experience.</t>
  </si>
  <si>
    <t>Illikova V</t>
  </si>
  <si>
    <t>10.1016/j.jelectrocard.2014.11.010</t>
  </si>
  <si>
    <t>https://pubmed.ncbi.nlm.nih.gov/25554238</t>
  </si>
  <si>
    <t>Pathogenesis of unexplained drowning: new insights from a molecular autopsy.</t>
  </si>
  <si>
    <t>10.4065/80.5.596</t>
  </si>
  <si>
    <t>https://pubmed.ncbi.nlm.nih.gov/15887426</t>
  </si>
  <si>
    <t>Unexplained drownings and the cardiac channelopathies: a molecular autopsy series</t>
  </si>
  <si>
    <t>Tester, DJ</t>
  </si>
  <si>
    <t>10.4065/mcp.2011.0373</t>
  </si>
  <si>
    <t>https://pubmed.ncbi.nlm.nih.gov/21964171</t>
  </si>
  <si>
    <t>Identification of a novel mutation V2321M of the cardiac ryanodine receptor gene of sudden unexplained death and a phenotypic study of the gene mutations</t>
  </si>
  <si>
    <t>10.1016/j.legalmed.2007.12.003</t>
  </si>
  <si>
    <t>https://pubmed.ncbi.nlm.nih.gov/18262818</t>
  </si>
  <si>
    <t>https://doi.org/10.1016/j.legalmed.2007.12.003</t>
  </si>
  <si>
    <t xml:space="preserve">Three cases of catecholaminergic polymorphic ventricular tachycardia with prolonged QT intervals including two cases of compound mutations </t>
  </si>
  <si>
    <t>Saito, A</t>
  </si>
  <si>
    <t>10.1002/joa3.12053</t>
  </si>
  <si>
    <t>https://pubmed.ncbi.nlm.nih.gov/29951146</t>
  </si>
  <si>
    <t>https://doi.org/10.1002/joa3.12053</t>
  </si>
  <si>
    <t>Genotypic heterogeneity and phenotypic mimicry among unrelated patients referred for catecholaminergic polymorphic ventricular tachycardia genetic testing.</t>
  </si>
  <si>
    <t>10.1016/j.hrthm.2006.03.025</t>
  </si>
  <si>
    <t>https://pubmed.ncbi.nlm.nih.gov/16818210</t>
  </si>
  <si>
    <t>https://doi.org/10.1016/j.hrthm.2006.03.025</t>
  </si>
  <si>
    <t>A RYR2-V1810L mutation identified in a Chinese patient with clinic manifestation of postural orthostatic tachycardia syndrome</t>
  </si>
  <si>
    <t>Ge, Q.</t>
  </si>
  <si>
    <t>10.1136/heartjnl-2013-304613.70</t>
  </si>
  <si>
    <t>RYR2 sequencing reveals novel missense mutations in a Kazakh idiopathic ventricular tachycardia study cohort</t>
  </si>
  <si>
    <t>Ainur Akilzhanova</t>
  </si>
  <si>
    <t>10.1371/journal.pone.0101059</t>
  </si>
  <si>
    <t>https://pubmed.ncbi.nlm.nih.gov/24978818</t>
  </si>
  <si>
    <t>A Type 2 Ryanodine Receptor Variant Associated with Reduced Ca2+ Release and Short-Couple Torsades De Pointes Ventricular Arrythmia</t>
  </si>
  <si>
    <t>Fujii, Y</t>
  </si>
  <si>
    <t>10.1016/j.hrthm.2016.10.015</t>
  </si>
  <si>
    <t>https://pubmed.ncbi.nlm.nih.gov/27756708</t>
  </si>
  <si>
    <t>Targeted mutational analysis of the RyR2-encoded cardiac ryanodine receptor in sudden unexplained death: a molecular autopsy of 49 medical examiner/coroner's cases</t>
  </si>
  <si>
    <t>10.4065/79.11.1380</t>
  </si>
  <si>
    <t>https://pubmed.ncbi.nlm.nih.gov/15544015</t>
  </si>
  <si>
    <t>Flecainide monotherapy is an option for selected patients with catecholaminergic polymorphic ventricular tachycardia intolerant of beta-blockade</t>
  </si>
  <si>
    <t xml:space="preserve">Padfield, G. </t>
  </si>
  <si>
    <t>10.1016/j.hrthm.2015.09.027</t>
  </si>
  <si>
    <t>https://pubmed.ncbi.nlm.nih.gov/26416620</t>
  </si>
  <si>
    <t>Search for cardiac calcium cycling gene mutations in familial ventricular arrhythmias resembling catecholaminergic polymorphic ventricular tachycardia.</t>
  </si>
  <si>
    <t>Marjamaa, Annukka</t>
  </si>
  <si>
    <t>10.1186/1471-2350-10-12</t>
  </si>
  <si>
    <t>https://pubmed.ncbi.nlm.nih.gov/19216760</t>
  </si>
  <si>
    <t>https://doi.org/10.1186/1471-2350-10-12</t>
  </si>
  <si>
    <t>A mechanism for sudden infant death syndrome (SIDS): stress-induced leak via ryanodine receptors.</t>
  </si>
  <si>
    <t>10.1016/j.hrthm.2007.02.026</t>
  </si>
  <si>
    <t>https://pubmed.ncbi.nlm.nih.gov/17556193</t>
  </si>
  <si>
    <t>Genetic screening in sudden cardiac death in the young can save future lives</t>
  </si>
  <si>
    <t>Stattin, EL</t>
  </si>
  <si>
    <t>10.1007/s00414-015-1237-8</t>
  </si>
  <si>
    <t>https://pubmed.ncbi.nlm.nih.gov/26228265</t>
  </si>
  <si>
    <t>Identification of pathogenic variants in genes related to channelopathy and cardiomyopathy in Korean sudden cardiac arrest survivors</t>
  </si>
  <si>
    <t>Song, JS</t>
  </si>
  <si>
    <t>10.1038/jhg.2017.8</t>
  </si>
  <si>
    <t>https://pubmed.ncbi.nlm.nih.gov/28202948</t>
  </si>
  <si>
    <t>Usefulness of genetic testing in sudden cardiac arrest survivors with or without previous clinical evidence of heart disease</t>
  </si>
  <si>
    <t>Asatryan, B.</t>
  </si>
  <si>
    <t>10.1016/j.amjcard.2019.02.061</t>
  </si>
  <si>
    <t>https://pubmed.ncbi.nlm.nih.gov/30975432</t>
  </si>
  <si>
    <t>Neuropathologic changes in sudden unexplained death in childhood</t>
  </si>
  <si>
    <t>McGuone, D.</t>
  </si>
  <si>
    <t>10.1093/jnen/nlz136</t>
  </si>
  <si>
    <t>https://pubmed.ncbi.nlm.nih.gov/31995186</t>
  </si>
  <si>
    <t>Catecholaminergic polymorphic ventricular tachycardia: the cardiac arrest where epinephrine is contraindicated</t>
  </si>
  <si>
    <t>Bellamy, D.</t>
  </si>
  <si>
    <t>10.1097/PCC.0000000000001847</t>
  </si>
  <si>
    <t>https://pubmed.ncbi.nlm.nih.gov/30640888</t>
  </si>
  <si>
    <t>Unusual Clinical Presentation in a Family with Catecholaminergic Polymorphic Ventricular Tachycardia due to a G14876A Ryanodine Receptor Gene Mutation</t>
  </si>
  <si>
    <t>Allouis, M</t>
  </si>
  <si>
    <t>10.1016/j.amjcard.2004.10.057</t>
  </si>
  <si>
    <t>https://pubmed.ncbi.nlm.nih.gov/15721128</t>
  </si>
  <si>
    <t>https://doi.org/10.1016/j.amjcard.2004.10.057</t>
  </si>
  <si>
    <t>Catecholaminergic polymorphic ventricular tachycardia in the young: an analysis of genetic data from an international, multicentre registry</t>
  </si>
  <si>
    <t>Roston, T.M.</t>
  </si>
  <si>
    <t>10.1016/j.cjca.2014.07.570</t>
  </si>
  <si>
    <t>https://www.embase.com/records?id=L71658830</t>
  </si>
  <si>
    <t>Cardiac channelopathy testing in 274 ethnically diverse sudden unexplained deaths.</t>
  </si>
  <si>
    <t>Wang, D</t>
  </si>
  <si>
    <t>10.1016/j.forsciint.2014.01.014</t>
  </si>
  <si>
    <t>https://pubmed.ncbi.nlm.nih.gov/24631775</t>
  </si>
  <si>
    <t xml:space="preserve">Postmortem Molecular Screening for Cardiac Ryanodine Receptor Type 2 Mutations in Sudden Unexplained Death R420W Mutated Case With Characteristics of Status Thymico-Lymphaticus </t>
  </si>
  <si>
    <t>Nishio, H</t>
  </si>
  <si>
    <t>10.1253/circj.70.1402</t>
  </si>
  <si>
    <t>https://pubmed.ncbi.nlm.nih.gov/17062961</t>
  </si>
  <si>
    <t>A family with recurrent sudden death.</t>
  </si>
  <si>
    <t>Kautbally, S.</t>
  </si>
  <si>
    <t>10.2143/AC.69.1.3011350</t>
  </si>
  <si>
    <t>https://www.embase.com/records?id=L71350692</t>
  </si>
  <si>
    <t>Flecainide monotherapy for catecholaminergic polymorphic ventricular tachycardia</t>
  </si>
  <si>
    <t>AlAhmari L.S.</t>
  </si>
  <si>
    <t>https://www.embase.com/records?id=L71894611</t>
  </si>
  <si>
    <t>Index of Suspicion. Case 1: Status epilepticus, hypertension, and tachycardia in a 5-year-old boy. Case 2: Cardiopulmonary arrest during gymnastics practice in a teenage girl. Case 3: Acute renal failure in a teenage boy who has autism and pica</t>
  </si>
  <si>
    <t>De, A.</t>
  </si>
  <si>
    <t>10.1542/pir.32-6-257</t>
  </si>
  <si>
    <t>https://pubmed.ncbi.nlm.nih.gov/21632878</t>
  </si>
  <si>
    <t>https://doi.org/10.1542/pir.32-6-257</t>
  </si>
  <si>
    <t>Genetic analysis of sudden unexplained death: a multidisciplinary approach</t>
  </si>
  <si>
    <t>Kauferstein, S.</t>
  </si>
  <si>
    <t>10.1016/j.forsciint.2013.03.050</t>
  </si>
  <si>
    <t>https://pubmed.ncbi.nlm.nih.gov/23683917</t>
  </si>
  <si>
    <t>https://doi.org/10.1016/j.forsciint.2013.03.050</t>
  </si>
  <si>
    <t>Non-ventricular, Clinical, and Functional Features of the RyR2(R420Q) Mutation Causing Catecholaminergic Polymorphic Ventricular Tachycardia.</t>
  </si>
  <si>
    <t>Domingo D</t>
  </si>
  <si>
    <t>10.1016/j.rec.2014.04.023</t>
  </si>
  <si>
    <t>https://pubmed.ncbi.nlm.nih.gov/25440180</t>
  </si>
  <si>
    <t>Effective cascade screening through identification of a mutation in RyR2 in a large family with a history of sudden death</t>
  </si>
  <si>
    <t>Bailey, C.</t>
  </si>
  <si>
    <t>10.1016/j.jccase.2015.08.015</t>
  </si>
  <si>
    <t>https://pubmed.ncbi.nlm.nih.gov/30546600</t>
  </si>
  <si>
    <t>https://doi.org/10.1016/j.jccase.2015.08.015</t>
  </si>
  <si>
    <t>Identification of Novel Missense Mutations of Cardiac Ryanodine Receptor Gene in Exercise-Induced Sudden Death at Autopsy</t>
  </si>
  <si>
    <t>Creighton, W</t>
  </si>
  <si>
    <t>10.2353/jmoldx.2006.050081</t>
  </si>
  <si>
    <t>https://pubmed.ncbi.nlm.nih.gov/16436635</t>
  </si>
  <si>
    <t>Next-generation sequencing of 34 genes in sudden unexplained death victims in forensics and in patients with channelopathic cardiac diseases.</t>
  </si>
  <si>
    <t>Hertz, C. L</t>
  </si>
  <si>
    <t>10.1007/s00414-014-1105-y</t>
  </si>
  <si>
    <t>https://pubmed.ncbi.nlm.nih.gov/25467552</t>
  </si>
  <si>
    <t>Ryanodine receptor (RyR2) mutations in sudden cardiac death: Studies in extended pedigrees and phenotypic characterization in vitro</t>
  </si>
  <si>
    <t>Marjamaa, A</t>
  </si>
  <si>
    <t>10.1016/j.ijcard.2009.08.041</t>
  </si>
  <si>
    <t>https://pubmed.ncbi.nlm.nih.gov/19781797</t>
  </si>
  <si>
    <t>https://doi.org/10.1016/j.ijcard.2009.08.041</t>
  </si>
  <si>
    <t>An NGS-based genotyping in LQTS; minor genes are no longer minor</t>
  </si>
  <si>
    <t>10.1038/s10038-020-0805-z</t>
  </si>
  <si>
    <t>https://pubmed.ncbi.nlm.nih.gov/32681117</t>
  </si>
  <si>
    <t>https://doi.org/10.1038/s10038-020-0805-z</t>
  </si>
  <si>
    <t>Genetic linkage between hypoplastic left heart syndrome and cardiomyopathies via the RYR2 gene</t>
  </si>
  <si>
    <t>Hu, J</t>
  </si>
  <si>
    <t>10.1177/2150135119830271</t>
  </si>
  <si>
    <t>https://www.embase.com/records?id=L626927596</t>
  </si>
  <si>
    <t>https://doi.org/10.1177/2150135119830271</t>
  </si>
  <si>
    <t>Clinical and genetic profile of catecholaminergic polymorphic ventricular tachycardia in Hong Kong Chinese children</t>
  </si>
  <si>
    <t>Yu, T.C.</t>
  </si>
  <si>
    <t>10.12809/hkmj154653</t>
  </si>
  <si>
    <t>https://pubmed.ncbi.nlm.nih.gov/27256466</t>
  </si>
  <si>
    <t>Cardiac arrest in a mother and daughter and the identification of a novel Ryr2 variant, predisposing to low penetrant catecholaminergic polymorphic ventricular tachycardia in a four-generation Canadian family</t>
  </si>
  <si>
    <t>Tung, M</t>
  </si>
  <si>
    <t>10.1002/mgg3.1151</t>
  </si>
  <si>
    <t>https://pubmed.ncbi.nlm.nih.gov/31994352</t>
  </si>
  <si>
    <t>Co-phenotype of left ventricular non-compaction cardiomyopathy and atypical catecholaminergic polymorphic ventricular tachycardia in association with R169Q, a ryanodine receptor type 2 missense mutation</t>
  </si>
  <si>
    <t>10.1253/circj.CJ-19-0720</t>
  </si>
  <si>
    <t>https://pubmed.ncbi.nlm.nih.gov/31875585</t>
  </si>
  <si>
    <t>A hotspot mutation RyR2-R169Q for Chinese patients with catecholaminergic polymorphic ventricular tachycardia</t>
  </si>
  <si>
    <t>10.1136/heartjnl-2012-302920a.65</t>
  </si>
  <si>
    <t>https://www.embase.com/records?id=L70969963</t>
  </si>
  <si>
    <t>Exome analysis in 34 sudden unexplained death (SUD) victims mainly identified variants in channelopathy-associated genes</t>
  </si>
  <si>
    <t>Neubauer, J.</t>
  </si>
  <si>
    <t>10.1007/s00414-018-1775-y</t>
  </si>
  <si>
    <t>https://pubmed.ncbi.nlm.nih.gov/29350269</t>
  </si>
  <si>
    <t>The genetics underlying idiopathic ventricular fibrillation: A special role for catecholaminergic polymorphic ventricular tachycardia?</t>
  </si>
  <si>
    <t>Leinonen, JT</t>
  </si>
  <si>
    <t>10.1016/j.ijcard.2017.10.016</t>
  </si>
  <si>
    <t>https://pubmed.ncbi.nlm.nih.gov/29032884</t>
  </si>
  <si>
    <t>https://doi.org/10.1016/j.ijcard.2017.10.016</t>
  </si>
  <si>
    <t>Targeted Next Generation Sequencing Application in Cardiac Channelopathies: Analysis of a Cohort of Autopsy-Negative Sudden Unexplained Deaths</t>
  </si>
  <si>
    <t>Farrugia A</t>
  </si>
  <si>
    <t>10.1016/j.forsciint.2015.06.023</t>
  </si>
  <si>
    <t>https://pubmed.ncbi.nlm.nih.gov/26164358</t>
  </si>
  <si>
    <t>https://doi.org/10.1016/j.forsciint.2015.06.023</t>
  </si>
  <si>
    <t>Dual inheritance of sudden death from cardiovascular causes</t>
  </si>
  <si>
    <t>Beckmann, B.</t>
  </si>
  <si>
    <t>10.1056/NEJMc0708596</t>
  </si>
  <si>
    <t>https://pubmed.ncbi.nlm.nih.gov/18463390</t>
  </si>
  <si>
    <t>https://doi.org/10.1056/NEJMc0708596</t>
  </si>
  <si>
    <t>Whole exome sequencing identified a pathogenic mutation in RYR2 in a Chinese family with unexplained sudden death</t>
  </si>
  <si>
    <t>Lin, Y</t>
  </si>
  <si>
    <t>10.1016/j.jelectrocard.2017.10.002</t>
  </si>
  <si>
    <t>https://pubmed.ncbi.nlm.nih.gov/29132927</t>
  </si>
  <si>
    <t>Exon 3 deletion of RyR2 encoding cardiac ryanodine receptor is associated with left ventricular non-compaction</t>
  </si>
  <si>
    <t>10.1093/europace/eut382</t>
  </si>
  <si>
    <t>https://pubmed.ncbi.nlm.nih.gov/24394973</t>
  </si>
  <si>
    <t>https://doi.org/10.1093/europace/eut382</t>
  </si>
  <si>
    <t>Whole exome sequencing with targeted sudden death-susceptibility gene analysis and familial genomic triangulation: The comprehensive molecular autopsy for sudden unexplained death in the young</t>
  </si>
  <si>
    <t>Weyhrauch, DL</t>
  </si>
  <si>
    <t>https://www.embase.com/records?id=L619568810</t>
  </si>
  <si>
    <t>Post pacing abnormal repolarization in a CPVT family associated with a RYR2 mutation</t>
  </si>
  <si>
    <t>Nof, E.</t>
  </si>
  <si>
    <t>10.1016/j.hrthm.2011.05.016</t>
  </si>
  <si>
    <t>https://pubmed.ncbi.nlm.nih.gov/21699856</t>
  </si>
  <si>
    <t>https://doi.org/10.1016/j.hrthm.2011.05.016</t>
  </si>
  <si>
    <t>Genetic analysis in post-mortem samples with micro-ischemic alterations</t>
  </si>
  <si>
    <t>Campuzano, O.</t>
  </si>
  <si>
    <t>10.1016/j.forsciint.2016.12.035</t>
  </si>
  <si>
    <t>https://pubmed.ncbi.nlm.nih.gov/28086167</t>
  </si>
  <si>
    <t>The Importance of Family-genetic Screening: The Phenotype Caused by the p.L3778F Ryanodine Receptor Mutation is Likely Less Severe Than Previously Thought</t>
  </si>
  <si>
    <t>Del Val Groba-Marco, M</t>
  </si>
  <si>
    <t>10.1016/j.rec.2016.04.007</t>
  </si>
  <si>
    <t>https://pubmed.ncbi.nlm.nih.gov/27198127</t>
  </si>
  <si>
    <t>https://doi.org/10.1016/j.rec.2016.04.007</t>
  </si>
  <si>
    <t>Syncope due to ventricular arrhythmia triggered by electronic gaming</t>
  </si>
  <si>
    <t>Lawley, CM</t>
  </si>
  <si>
    <t>10.1056/NEJMc1905537</t>
  </si>
  <si>
    <t>https://pubmed.ncbi.nlm.nih.gov/31532968</t>
  </si>
  <si>
    <t>A novel RYR2 loss-of-function mutation (I4855M) is associated with left ventricular non-compaction and atypical catecholaminergic polymorphic ventricular tachycardia</t>
  </si>
  <si>
    <t>10.1016/j.jelectrocard.2016.09.006</t>
  </si>
  <si>
    <t>https://doi.org/10.1016/j.jelectrocard.2016.09.006</t>
  </si>
  <si>
    <t>A novel variant of RyR2 gene in a family misdiagnosed as congenital long QT syndrome: The importance of genetic testing</t>
  </si>
  <si>
    <t>Letsas, K.P.</t>
  </si>
  <si>
    <t>10.1016/j.jelectrocard.2020.03.001</t>
  </si>
  <si>
    <t>https://pubmed.ncbi.nlm.nih.gov/32179276</t>
  </si>
  <si>
    <t>Genetic analysis of arrhythmogenic diseases in the era of NGS: the complexity of clinical decision-making in Brugada Syndrome</t>
  </si>
  <si>
    <t>Allegue, C.</t>
  </si>
  <si>
    <t>10.1371/journal.pone.0133037</t>
  </si>
  <si>
    <t>https://pubmed.ncbi.nlm.nih.gov/26230511</t>
  </si>
  <si>
    <t>https://doi.org/10.1371/journal.pone.0133037</t>
  </si>
  <si>
    <t xml:space="preserve">A novel variant in RyR2 causes familiar catecholaminergic polymorphic ventricular tachycardia </t>
  </si>
  <si>
    <t>Bosch, C.</t>
  </si>
  <si>
    <t>10.1016/j.forsciint.2016.12.001</t>
  </si>
  <si>
    <t>https://pubmed.ncbi.nlm.nih.gov/27988446</t>
  </si>
  <si>
    <t>Autosomal recessive cardiomyopathy presenting as acute myocarditis</t>
  </si>
  <si>
    <t>Belkaya, S.</t>
  </si>
  <si>
    <t>10.1016/j.jacc.2017.01.043</t>
  </si>
  <si>
    <t>https://pubmed.ncbi.nlm.nih.gov/28359509</t>
  </si>
  <si>
    <t>Post-mortem whole exome sequencing with gene-specific analysis for autopsy negative sudden unexplained death in the young: a case series</t>
  </si>
  <si>
    <t>Narula, N</t>
  </si>
  <si>
    <t>10.1007/s00246-014-1082-4</t>
  </si>
  <si>
    <t>https://pubmed.ncbi.nlm.nih.gov/25500949</t>
  </si>
  <si>
    <t>Genetic basis of channelopathies and cardiomyopathies in Hong Kong Chinese patients: a 10-year regional laboratory experience</t>
  </si>
  <si>
    <t>Mak, CM</t>
  </si>
  <si>
    <t>10.12809/hkmj176870</t>
  </si>
  <si>
    <t>https://pubmed.ncbi.nlm.nih.gov/29497013</t>
  </si>
  <si>
    <t>Catecholaminergic polymorphic ventricular tachycardia 1 (CPVT1) with autosomal recessive inheritance is caused by extremely rare RYR2 variant, presenting with cardiac arrest and VF</t>
  </si>
  <si>
    <t>Shauer, A.</t>
  </si>
  <si>
    <t>https://www.embase.com/records?id=L618768552</t>
  </si>
  <si>
    <t>Two patients with diabetes and mutations in genes that regulate beta cell function in mice</t>
  </si>
  <si>
    <t>Repaske, D</t>
  </si>
  <si>
    <t>10.1111/pedi.12746</t>
  </si>
  <si>
    <t>https://www.embase.com/records?id=L626683880</t>
  </si>
  <si>
    <t>Novel RYR2 mutations causative for long QT syndromes</t>
  </si>
  <si>
    <t>Fukuyama, M</t>
  </si>
  <si>
    <t>10.1093/eurheartj/ehx493.P5860</t>
  </si>
  <si>
    <t>Discrepant DNA analysis in three patients with inherited arrhythmia: molecular genetic test results deserve a second glance</t>
  </si>
  <si>
    <t>Honeywell, C.</t>
  </si>
  <si>
    <t>10.1002/ajmg.a.32336</t>
  </si>
  <si>
    <t>https://pubmed.ncbi.nlm.nih.gov/18449933</t>
  </si>
  <si>
    <t>https://doi.org/10.1002/ajmg.a.32336</t>
  </si>
  <si>
    <t>Catecholaminergic polymorphic ventricular tachycardia managed as orthostatic dysregulation and epilepsy in 11- and 15-year-old sisters</t>
  </si>
  <si>
    <t>Fujita, S.</t>
  </si>
  <si>
    <t>10.1111/ped.13688</t>
  </si>
  <si>
    <t>https://pubmed.ncbi.nlm.nih.gov/30157307</t>
  </si>
  <si>
    <t>https://doi.org/10.1111/ped.13688</t>
  </si>
  <si>
    <t>A New Mutation in the Ryanodine Receptor 2 Gene (RyR2 C2277R) as a Cause Catecholaminergic Polymorphic Ventricular Tachycardia</t>
  </si>
  <si>
    <t>10.1016/j.rec.2014.07.022</t>
  </si>
  <si>
    <t>https://pubmed.ncbi.nlm.nih.gov/25435091</t>
  </si>
  <si>
    <t>https://doi.org/10.1016/j.rec.2014.07.022</t>
  </si>
  <si>
    <t>Juvenile sudden death in a family with polymorphic ventricular arrhythmias caused by a novel RyR2 gene mutation: evidence of specific morphological substrates</t>
  </si>
  <si>
    <t>d'Amati, G</t>
  </si>
  <si>
    <t>10.1016/j.humpath.2005.04.019</t>
  </si>
  <si>
    <t>https://pubmed.ncbi.nlm.nih.gov/16084945</t>
  </si>
  <si>
    <t>Double mutations in RyR2 cause severe phenotype of catecholaminergic polymorphic ventricular tachycardia</t>
  </si>
  <si>
    <t>Takayama, K.</t>
  </si>
  <si>
    <t>10.1093/eurheartj/ehx502.1218</t>
  </si>
  <si>
    <t>Sudden unexplained death in the young: epidemiology, aetiology, and value of the clinically guided genetic screening</t>
  </si>
  <si>
    <t>Anastasakis, A.</t>
  </si>
  <si>
    <t>10.1093/europace/euw362</t>
  </si>
  <si>
    <t>https://pubmed.ncbi.nlm.nih.gov/28177452</t>
  </si>
  <si>
    <t>Identification of a novel exon 3 deletion of RyR2 in a family with catecholaminergic polymorphic ventricular tachycardia</t>
  </si>
  <si>
    <t>Dharmawan, T.</t>
  </si>
  <si>
    <t>10.1111/anec.12623</t>
  </si>
  <si>
    <t>https://pubmed.ncbi.nlm.nih.gov/30615235</t>
  </si>
  <si>
    <t>https://doi.org/10.1111/anec.12623</t>
  </si>
  <si>
    <t>https://pubmed.ncbi.nlm.nih.gov/25041964</t>
  </si>
  <si>
    <t>10.1016/j.hrthm.2014.07.020</t>
  </si>
  <si>
    <t>Roux-Buisson, N</t>
  </si>
  <si>
    <t>Prevalence and significance of rare RYR2 variants in arrhythmogenic right ventricular cardiomyopathy/dysplasia: Results of a systematic screening</t>
  </si>
  <si>
    <t>10.1038/ejhg.2015.198</t>
  </si>
  <si>
    <t>Hertz, CL</t>
  </si>
  <si>
    <t>Genetic investigations of sudden unexpected deaths in infancy using next-generation sequencing of 100 genes associated with cardiac diseases</t>
  </si>
  <si>
    <t>https://pubmed.ncbi.nlm.nih.gov/27000522</t>
  </si>
  <si>
    <t>10.1111/cge.12778</t>
  </si>
  <si>
    <t>Cann, F.</t>
  </si>
  <si>
    <t>Phenotype-driven molecular autopsy for sudden cardiac death</t>
  </si>
  <si>
    <t>rob_publcation_class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</si>
</sst>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u/>
      <sz val="11"/>
      <color theme="10"/>
      <name val="Aptos Narrow"/>
      <family val="2"/>
      <scheme val="minor"/>
    </font>
    <font>
      <sz val="11"/>
      <color rgb="FF242424"/>
      <name val="Aptos Narrow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5" fillId="0" borderId="0" xfId="1" applyFont="1" applyFill="1" applyAlignment="1"/>
    <xf numFmtId="0" fontId="5" fillId="0" borderId="0" xfId="1" applyFont="1" applyFill="1"/>
    <xf numFmtId="0" fontId="6" fillId="0" borderId="0" xfId="1" applyFont="1" applyFill="1" applyAlignment="1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7" fillId="0" borderId="1" xfId="0" applyFont="1" applyBorder="1" applyAlignment="1">
      <alignment horizont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/>
    <xf numFmtId="0" fontId="1" fillId="0" borderId="0" xfId="0" applyFont="1"/>
    <xf numFmtId="0" fontId="4" fillId="0" borderId="0" xfId="0" applyFont="1"/>
    <xf numFmtId="0" fontId="7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2" borderId="0" xfId="0" applyFont="1" applyFill="1"/>
    <xf numFmtId="0" fontId="0" fillId="2" borderId="0" xfId="0" applyFill="1"/>
    <xf numFmtId="0" fontId="0" fillId="2" borderId="0" xfId="0" applyFill="1" applyAlignment="1">
      <alignment wrapText="1"/>
    </xf>
    <xf numFmtId="0" fontId="5" fillId="2" borderId="0" xfId="0" applyFont="1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6"/>
  <sheetViews>
    <sheetView tabSelected="1" workbookViewId="0">
      <pane ySplit="1" topLeftCell="A2" activePane="bottomLeft" state="frozen"/>
      <selection pane="bottomLeft" activeCell="G1" sqref="G1"/>
    </sheetView>
  </sheetViews>
  <sheetFormatPr baseColWidth="10" defaultColWidth="8.83203125" defaultRowHeight="15" x14ac:dyDescent="0.2"/>
  <cols>
    <col min="6" max="6" width="51.6640625" customWidth="1"/>
    <col min="7" max="7" width="16" customWidth="1"/>
    <col min="10" max="10" width="17.6640625" customWidth="1"/>
    <col min="11" max="11" width="17.6640625" style="9" customWidth="1"/>
    <col min="12" max="18" width="17.6640625" customWidth="1"/>
  </cols>
  <sheetData>
    <row r="1" spans="1:18" ht="112" x14ac:dyDescent="0.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13" t="s">
        <v>327</v>
      </c>
      <c r="H1" s="12" t="s">
        <v>6</v>
      </c>
      <c r="I1" s="12" t="s">
        <v>7</v>
      </c>
      <c r="J1" s="7" t="s">
        <v>8</v>
      </c>
      <c r="K1" s="8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</row>
    <row r="2" spans="1:18" x14ac:dyDescent="0.2">
      <c r="A2">
        <v>5</v>
      </c>
      <c r="B2" t="s">
        <v>19</v>
      </c>
      <c r="C2" t="s">
        <v>20</v>
      </c>
      <c r="D2" t="s">
        <v>21</v>
      </c>
      <c r="E2" t="s">
        <v>22</v>
      </c>
      <c r="F2" t="str">
        <f>IF(D2&lt;&gt;"N/A",_xlfn.CONCAT("https://doi.org/",D2),"")</f>
        <v>https://doi.org/10.1371/journal.pone.0131517</v>
      </c>
      <c r="G2">
        <v>12</v>
      </c>
      <c r="H2" t="b">
        <f t="shared" ref="H2:H57" si="0">IF(I2=1,TRUE,FALSE)</f>
        <v>0</v>
      </c>
      <c r="I2">
        <v>5</v>
      </c>
      <c r="J2" t="s">
        <v>17</v>
      </c>
      <c r="K2" s="9" t="s">
        <v>18</v>
      </c>
      <c r="L2" t="s">
        <v>23</v>
      </c>
      <c r="M2" t="s">
        <v>17</v>
      </c>
      <c r="N2" t="s">
        <v>23</v>
      </c>
      <c r="O2" t="s">
        <v>24</v>
      </c>
      <c r="P2" t="s">
        <v>17</v>
      </c>
      <c r="Q2" t="s">
        <v>17</v>
      </c>
      <c r="R2" t="s">
        <v>17</v>
      </c>
    </row>
    <row r="3" spans="1:18" ht="16" x14ac:dyDescent="0.2">
      <c r="A3">
        <v>8</v>
      </c>
      <c r="B3" t="s">
        <v>25</v>
      </c>
      <c r="C3" t="s">
        <v>26</v>
      </c>
      <c r="D3" t="s">
        <v>27</v>
      </c>
      <c r="E3" t="s">
        <v>28</v>
      </c>
      <c r="F3" t="str">
        <f t="shared" ref="F3:F72" si="1">IF(D3&lt;&gt;"N/A",_xlfn.CONCAT("https://doi.org/",D3),"")</f>
        <v/>
      </c>
      <c r="H3" t="b">
        <f t="shared" si="0"/>
        <v>1</v>
      </c>
      <c r="I3">
        <v>1</v>
      </c>
      <c r="J3" s="7" t="s">
        <v>23</v>
      </c>
      <c r="K3" s="8" t="s">
        <v>23</v>
      </c>
      <c r="L3" s="7" t="s">
        <v>23</v>
      </c>
      <c r="M3" s="7" t="s">
        <v>17</v>
      </c>
      <c r="N3" s="7" t="s">
        <v>23</v>
      </c>
      <c r="O3" s="7" t="s">
        <v>23</v>
      </c>
      <c r="P3" s="7" t="s">
        <v>24</v>
      </c>
      <c r="Q3" s="7" t="s">
        <v>23</v>
      </c>
      <c r="R3" s="7" t="s">
        <v>23</v>
      </c>
    </row>
    <row r="4" spans="1:18" ht="16" x14ac:dyDescent="0.2">
      <c r="A4">
        <v>24</v>
      </c>
      <c r="B4" t="s">
        <v>29</v>
      </c>
      <c r="D4" t="s">
        <v>30</v>
      </c>
      <c r="E4" t="s">
        <v>31</v>
      </c>
      <c r="F4" t="s">
        <v>32</v>
      </c>
      <c r="H4" t="b">
        <f t="shared" si="0"/>
        <v>0</v>
      </c>
      <c r="I4">
        <v>5</v>
      </c>
      <c r="J4" t="s">
        <v>17</v>
      </c>
      <c r="K4" s="2" t="s">
        <v>18</v>
      </c>
      <c r="L4" s="7" t="s">
        <v>23</v>
      </c>
      <c r="M4" s="7" t="s">
        <v>17</v>
      </c>
      <c r="N4" s="7" t="s">
        <v>17</v>
      </c>
      <c r="O4" s="7" t="s">
        <v>17</v>
      </c>
      <c r="P4" s="7" t="s">
        <v>17</v>
      </c>
      <c r="Q4" s="7" t="s">
        <v>33</v>
      </c>
      <c r="R4" s="7" t="s">
        <v>17</v>
      </c>
    </row>
    <row r="5" spans="1:18" ht="16" x14ac:dyDescent="0.2">
      <c r="A5" s="10">
        <v>27</v>
      </c>
      <c r="B5" s="10" t="s">
        <v>35</v>
      </c>
      <c r="C5" s="10" t="s">
        <v>36</v>
      </c>
      <c r="D5" s="10" t="s">
        <v>37</v>
      </c>
      <c r="E5" s="10" t="s">
        <v>38</v>
      </c>
      <c r="F5" t="str">
        <f t="shared" si="1"/>
        <v>https://doi.org/10.1111/j.1540-8159.2012.03399.x</v>
      </c>
      <c r="H5" t="b">
        <f t="shared" si="0"/>
        <v>0</v>
      </c>
      <c r="I5">
        <v>5</v>
      </c>
      <c r="J5" s="7" t="s">
        <v>17</v>
      </c>
      <c r="K5" s="8" t="s">
        <v>17</v>
      </c>
      <c r="L5" s="7" t="s">
        <v>24</v>
      </c>
      <c r="M5" s="7" t="s">
        <v>17</v>
      </c>
      <c r="N5" s="7" t="s">
        <v>17</v>
      </c>
      <c r="O5" s="7" t="s">
        <v>17</v>
      </c>
      <c r="P5" s="7" t="s">
        <v>17</v>
      </c>
      <c r="Q5" s="7" t="s">
        <v>33</v>
      </c>
      <c r="R5" s="7" t="s">
        <v>17</v>
      </c>
    </row>
    <row r="6" spans="1:18" ht="16" x14ac:dyDescent="0.2">
      <c r="A6" s="10">
        <v>28</v>
      </c>
      <c r="B6" s="10" t="s">
        <v>39</v>
      </c>
      <c r="C6" s="10" t="s">
        <v>40</v>
      </c>
      <c r="D6" s="10" t="s">
        <v>41</v>
      </c>
      <c r="E6" s="10" t="s">
        <v>42</v>
      </c>
      <c r="F6" t="str">
        <f t="shared" si="1"/>
        <v>https://doi.org/10.1177/1099800409333369</v>
      </c>
      <c r="H6" t="b">
        <f t="shared" si="0"/>
        <v>0</v>
      </c>
      <c r="I6">
        <v>5</v>
      </c>
      <c r="J6" s="7" t="s">
        <v>17</v>
      </c>
      <c r="K6" s="8" t="s">
        <v>18</v>
      </c>
      <c r="L6" s="7" t="s">
        <v>24</v>
      </c>
      <c r="M6" s="7" t="s">
        <v>17</v>
      </c>
      <c r="N6" s="7" t="s">
        <v>17</v>
      </c>
      <c r="O6" s="7" t="s">
        <v>17</v>
      </c>
      <c r="P6" s="7" t="s">
        <v>17</v>
      </c>
      <c r="Q6" s="7" t="s">
        <v>17</v>
      </c>
      <c r="R6" s="7" t="s">
        <v>17</v>
      </c>
    </row>
    <row r="7" spans="1:18" ht="16" x14ac:dyDescent="0.2">
      <c r="A7" s="10">
        <v>30</v>
      </c>
      <c r="B7" s="10" t="s">
        <v>43</v>
      </c>
      <c r="C7" s="10" t="s">
        <v>44</v>
      </c>
      <c r="D7" s="10" t="s">
        <v>45</v>
      </c>
      <c r="E7" s="10" t="s">
        <v>46</v>
      </c>
      <c r="F7" t="str">
        <f t="shared" si="1"/>
        <v>https://doi.org/10.1016/j.mayocp.2012.02.017</v>
      </c>
      <c r="H7" t="b">
        <f t="shared" si="0"/>
        <v>0</v>
      </c>
      <c r="I7">
        <v>5</v>
      </c>
      <c r="J7" s="7" t="s">
        <v>17</v>
      </c>
      <c r="K7" s="8" t="s">
        <v>18</v>
      </c>
      <c r="L7" s="7" t="s">
        <v>23</v>
      </c>
      <c r="M7" s="7" t="s">
        <v>17</v>
      </c>
      <c r="N7" s="7" t="s">
        <v>17</v>
      </c>
      <c r="O7" s="7" t="s">
        <v>17</v>
      </c>
      <c r="P7" s="7" t="s">
        <v>17</v>
      </c>
      <c r="Q7" s="7" t="s">
        <v>33</v>
      </c>
      <c r="R7" s="7" t="s">
        <v>17</v>
      </c>
    </row>
    <row r="8" spans="1:18" ht="16" x14ac:dyDescent="0.2">
      <c r="A8" s="10">
        <v>31</v>
      </c>
      <c r="B8" s="10" t="s">
        <v>47</v>
      </c>
      <c r="C8" s="10" t="s">
        <v>48</v>
      </c>
      <c r="D8" s="10" t="s">
        <v>49</v>
      </c>
      <c r="E8" s="10" t="s">
        <v>50</v>
      </c>
      <c r="F8" t="str">
        <f t="shared" si="1"/>
        <v>https://doi.org/10.1161/circgenetics.115.001370</v>
      </c>
      <c r="G8" s="10"/>
      <c r="H8" t="b">
        <f t="shared" si="0"/>
        <v>0</v>
      </c>
      <c r="I8">
        <v>5</v>
      </c>
      <c r="J8" s="7" t="s">
        <v>17</v>
      </c>
      <c r="K8" s="8" t="s">
        <v>18</v>
      </c>
      <c r="L8" s="7" t="s">
        <v>24</v>
      </c>
      <c r="M8" s="7" t="s">
        <v>17</v>
      </c>
      <c r="N8" s="7" t="s">
        <v>17</v>
      </c>
      <c r="O8" s="7" t="s">
        <v>17</v>
      </c>
      <c r="P8" s="7" t="s">
        <v>17</v>
      </c>
      <c r="Q8" s="7" t="s">
        <v>17</v>
      </c>
      <c r="R8" s="7" t="s">
        <v>17</v>
      </c>
    </row>
    <row r="9" spans="1:18" ht="16" x14ac:dyDescent="0.2">
      <c r="A9" s="10">
        <v>54</v>
      </c>
      <c r="B9" s="10" t="s">
        <v>51</v>
      </c>
      <c r="C9" s="10" t="s">
        <v>52</v>
      </c>
      <c r="D9" s="10" t="s">
        <v>53</v>
      </c>
      <c r="E9" s="10" t="s">
        <v>54</v>
      </c>
      <c r="F9" t="str">
        <f t="shared" si="1"/>
        <v>https://doi.org/10.1016/j.jelectrocard.2014.11.010</v>
      </c>
      <c r="H9" t="b">
        <f t="shared" si="0"/>
        <v>0</v>
      </c>
      <c r="I9">
        <v>5</v>
      </c>
      <c r="J9" s="7" t="s">
        <v>17</v>
      </c>
      <c r="K9" s="8" t="s">
        <v>18</v>
      </c>
      <c r="L9" s="7" t="s">
        <v>24</v>
      </c>
      <c r="M9" s="7" t="s">
        <v>17</v>
      </c>
      <c r="N9" s="7" t="s">
        <v>17</v>
      </c>
      <c r="O9" s="7" t="s">
        <v>17</v>
      </c>
      <c r="P9" s="7" t="s">
        <v>17</v>
      </c>
      <c r="Q9" s="7" t="s">
        <v>33</v>
      </c>
      <c r="R9" s="7" t="s">
        <v>17</v>
      </c>
    </row>
    <row r="10" spans="1:18" ht="16" x14ac:dyDescent="0.2">
      <c r="A10" s="10">
        <v>73</v>
      </c>
      <c r="B10" s="10" t="s">
        <v>55</v>
      </c>
      <c r="C10" s="10" t="s">
        <v>44</v>
      </c>
      <c r="D10" s="10" t="s">
        <v>56</v>
      </c>
      <c r="E10" s="10" t="s">
        <v>57</v>
      </c>
      <c r="F10" t="str">
        <f t="shared" si="1"/>
        <v>https://doi.org/10.4065/80.5.596</v>
      </c>
      <c r="H10" t="b">
        <f t="shared" si="0"/>
        <v>0</v>
      </c>
      <c r="I10">
        <v>5</v>
      </c>
      <c r="J10" s="7" t="s">
        <v>17</v>
      </c>
      <c r="K10" s="8" t="s">
        <v>18</v>
      </c>
      <c r="L10" s="7" t="s">
        <v>24</v>
      </c>
      <c r="M10" s="7" t="s">
        <v>17</v>
      </c>
      <c r="N10" s="7" t="s">
        <v>17</v>
      </c>
      <c r="O10" s="7" t="s">
        <v>17</v>
      </c>
      <c r="P10" s="7" t="s">
        <v>17</v>
      </c>
      <c r="Q10" s="7" t="s">
        <v>33</v>
      </c>
      <c r="R10" s="7" t="s">
        <v>17</v>
      </c>
    </row>
    <row r="11" spans="1:18" ht="16" x14ac:dyDescent="0.2">
      <c r="A11" s="10">
        <v>74</v>
      </c>
      <c r="B11" s="10" t="s">
        <v>58</v>
      </c>
      <c r="C11" s="10" t="s">
        <v>59</v>
      </c>
      <c r="D11" s="10" t="s">
        <v>60</v>
      </c>
      <c r="E11" s="10" t="s">
        <v>61</v>
      </c>
      <c r="F11" t="str">
        <f t="shared" si="1"/>
        <v>https://doi.org/10.4065/mcp.2011.0373</v>
      </c>
      <c r="H11" t="b">
        <f t="shared" si="0"/>
        <v>0</v>
      </c>
      <c r="I11">
        <v>5</v>
      </c>
      <c r="J11" s="7" t="s">
        <v>17</v>
      </c>
      <c r="K11" s="8" t="s">
        <v>18</v>
      </c>
      <c r="L11" s="7" t="s">
        <v>24</v>
      </c>
      <c r="M11" s="7" t="s">
        <v>17</v>
      </c>
      <c r="N11" s="7" t="s">
        <v>17</v>
      </c>
      <c r="O11" s="7" t="s">
        <v>17</v>
      </c>
      <c r="P11" s="7" t="s">
        <v>17</v>
      </c>
      <c r="Q11" s="7" t="s">
        <v>17</v>
      </c>
      <c r="R11" s="7" t="s">
        <v>17</v>
      </c>
    </row>
    <row r="12" spans="1:18" ht="16" x14ac:dyDescent="0.2">
      <c r="A12" s="10">
        <v>78</v>
      </c>
      <c r="B12" s="10" t="s">
        <v>62</v>
      </c>
      <c r="C12" s="10" t="s">
        <v>63</v>
      </c>
      <c r="D12" s="11" t="s">
        <v>63</v>
      </c>
      <c r="E12" s="10" t="s">
        <v>64</v>
      </c>
      <c r="F12" t="s">
        <v>65</v>
      </c>
      <c r="H12" t="b">
        <f t="shared" si="0"/>
        <v>0</v>
      </c>
      <c r="I12">
        <v>4</v>
      </c>
      <c r="J12" t="s">
        <v>17</v>
      </c>
      <c r="K12" s="1" t="s">
        <v>23</v>
      </c>
      <c r="L12" s="7" t="s">
        <v>23</v>
      </c>
      <c r="M12" s="7" t="s">
        <v>17</v>
      </c>
      <c r="N12" s="7" t="s">
        <v>17</v>
      </c>
      <c r="O12" s="7" t="s">
        <v>17</v>
      </c>
      <c r="P12" s="7" t="s">
        <v>17</v>
      </c>
      <c r="Q12" s="7" t="s">
        <v>33</v>
      </c>
      <c r="R12" s="7" t="s">
        <v>17</v>
      </c>
    </row>
    <row r="13" spans="1:18" ht="16" x14ac:dyDescent="0.2">
      <c r="A13" s="10">
        <v>79</v>
      </c>
      <c r="B13" s="10" t="s">
        <v>66</v>
      </c>
      <c r="C13" s="10" t="s">
        <v>67</v>
      </c>
      <c r="D13" s="10" t="s">
        <v>68</v>
      </c>
      <c r="E13" t="s">
        <v>69</v>
      </c>
      <c r="F13" t="s">
        <v>70</v>
      </c>
      <c r="H13" t="b">
        <f t="shared" si="0"/>
        <v>0</v>
      </c>
      <c r="I13">
        <v>5</v>
      </c>
      <c r="J13" t="s">
        <v>23</v>
      </c>
      <c r="K13" s="1" t="s">
        <v>23</v>
      </c>
      <c r="L13" s="7" t="s">
        <v>23</v>
      </c>
      <c r="M13" s="7" t="s">
        <v>17</v>
      </c>
      <c r="N13" s="7" t="s">
        <v>23</v>
      </c>
      <c r="O13" s="7" t="s">
        <v>23</v>
      </c>
      <c r="P13" s="7" t="s">
        <v>24</v>
      </c>
      <c r="Q13" s="7" t="s">
        <v>23</v>
      </c>
      <c r="R13" s="7" t="s">
        <v>23</v>
      </c>
    </row>
    <row r="14" spans="1:18" ht="16" x14ac:dyDescent="0.2">
      <c r="A14">
        <v>89</v>
      </c>
      <c r="B14" t="s">
        <v>71</v>
      </c>
      <c r="C14" t="s">
        <v>44</v>
      </c>
      <c r="D14" t="s">
        <v>72</v>
      </c>
      <c r="E14" t="s">
        <v>73</v>
      </c>
      <c r="F14" t="s">
        <v>74</v>
      </c>
      <c r="H14" t="b">
        <f t="shared" si="0"/>
        <v>0</v>
      </c>
      <c r="I14">
        <v>5</v>
      </c>
      <c r="J14" t="s">
        <v>17</v>
      </c>
      <c r="K14" s="1" t="s">
        <v>18</v>
      </c>
      <c r="L14" s="7" t="s">
        <v>24</v>
      </c>
      <c r="M14" s="7" t="s">
        <v>17</v>
      </c>
      <c r="N14" s="7" t="s">
        <v>33</v>
      </c>
      <c r="O14" s="7" t="s">
        <v>17</v>
      </c>
      <c r="P14" s="7" t="s">
        <v>17</v>
      </c>
      <c r="Q14" s="7" t="s">
        <v>33</v>
      </c>
      <c r="R14" s="7" t="s">
        <v>17</v>
      </c>
    </row>
    <row r="15" spans="1:18" ht="16" x14ac:dyDescent="0.2">
      <c r="A15" s="10">
        <v>92</v>
      </c>
      <c r="B15" s="10" t="s">
        <v>75</v>
      </c>
      <c r="C15" s="10" t="s">
        <v>76</v>
      </c>
      <c r="D15" s="10" t="s">
        <v>77</v>
      </c>
      <c r="E15" s="10" t="s">
        <v>27</v>
      </c>
      <c r="F15" t="str">
        <f t="shared" si="1"/>
        <v>https://doi.org/10.1136/heartjnl-2013-304613.70</v>
      </c>
      <c r="H15" t="b">
        <f t="shared" si="0"/>
        <v>1</v>
      </c>
      <c r="I15">
        <v>1</v>
      </c>
      <c r="J15" s="7" t="s">
        <v>17</v>
      </c>
      <c r="K15" s="8" t="s">
        <v>23</v>
      </c>
      <c r="L15" s="7" t="s">
        <v>24</v>
      </c>
      <c r="M15" s="7" t="s">
        <v>24</v>
      </c>
      <c r="N15" s="7" t="s">
        <v>17</v>
      </c>
      <c r="O15" s="7" t="s">
        <v>23</v>
      </c>
      <c r="P15" s="7" t="s">
        <v>17</v>
      </c>
      <c r="Q15" s="7" t="s">
        <v>23</v>
      </c>
      <c r="R15" s="7" t="s">
        <v>17</v>
      </c>
    </row>
    <row r="16" spans="1:18" ht="16" x14ac:dyDescent="0.2">
      <c r="A16" s="10">
        <v>93</v>
      </c>
      <c r="B16" s="10" t="s">
        <v>78</v>
      </c>
      <c r="C16" s="10" t="s">
        <v>79</v>
      </c>
      <c r="D16" s="10" t="s">
        <v>80</v>
      </c>
      <c r="E16" s="10" t="s">
        <v>81</v>
      </c>
      <c r="F16" t="str">
        <f t="shared" si="1"/>
        <v>https://doi.org/10.1371/journal.pone.0101059</v>
      </c>
      <c r="H16" t="b">
        <f t="shared" si="0"/>
        <v>0</v>
      </c>
      <c r="I16">
        <v>5</v>
      </c>
      <c r="J16" s="7" t="s">
        <v>17</v>
      </c>
      <c r="K16" s="8" t="s">
        <v>18</v>
      </c>
      <c r="L16" s="7" t="s">
        <v>24</v>
      </c>
      <c r="M16" s="7" t="s">
        <v>17</v>
      </c>
      <c r="N16" s="7" t="s">
        <v>17</v>
      </c>
      <c r="O16" s="7" t="s">
        <v>17</v>
      </c>
      <c r="P16" s="7" t="s">
        <v>17</v>
      </c>
      <c r="Q16" s="7" t="s">
        <v>17</v>
      </c>
      <c r="R16" s="7" t="s">
        <v>17</v>
      </c>
    </row>
    <row r="17" spans="1:18" ht="16" x14ac:dyDescent="0.2">
      <c r="A17" s="10">
        <v>94</v>
      </c>
      <c r="B17" s="10" t="s">
        <v>82</v>
      </c>
      <c r="C17" s="10" t="s">
        <v>83</v>
      </c>
      <c r="D17" s="10" t="s">
        <v>84</v>
      </c>
      <c r="E17" s="10" t="s">
        <v>85</v>
      </c>
      <c r="F17" t="str">
        <f t="shared" si="1"/>
        <v>https://doi.org/10.1016/j.hrthm.2016.10.015</v>
      </c>
      <c r="H17" t="b">
        <f t="shared" si="0"/>
        <v>0</v>
      </c>
      <c r="I17">
        <v>5</v>
      </c>
      <c r="J17" s="7" t="s">
        <v>17</v>
      </c>
      <c r="K17" s="8" t="s">
        <v>18</v>
      </c>
      <c r="L17" s="7" t="s">
        <v>24</v>
      </c>
      <c r="M17" s="7" t="s">
        <v>17</v>
      </c>
      <c r="N17" s="7" t="s">
        <v>17</v>
      </c>
      <c r="O17" s="7" t="s">
        <v>17</v>
      </c>
      <c r="P17" s="7" t="s">
        <v>17</v>
      </c>
      <c r="Q17" s="7" t="s">
        <v>17</v>
      </c>
      <c r="R17" s="7" t="s">
        <v>17</v>
      </c>
    </row>
    <row r="18" spans="1:18" ht="16" x14ac:dyDescent="0.2">
      <c r="A18" s="10">
        <v>103</v>
      </c>
      <c r="B18" s="10" t="s">
        <v>86</v>
      </c>
      <c r="C18" s="10" t="s">
        <v>59</v>
      </c>
      <c r="D18" s="10" t="s">
        <v>87</v>
      </c>
      <c r="E18" s="10" t="s">
        <v>88</v>
      </c>
      <c r="F18" t="str">
        <f t="shared" si="1"/>
        <v>https://doi.org/10.4065/79.11.1380</v>
      </c>
      <c r="H18" t="b">
        <f t="shared" si="0"/>
        <v>0</v>
      </c>
      <c r="I18">
        <v>5</v>
      </c>
      <c r="J18" s="7" t="s">
        <v>17</v>
      </c>
      <c r="K18" s="8" t="s">
        <v>18</v>
      </c>
      <c r="L18" s="7" t="s">
        <v>24</v>
      </c>
      <c r="M18" s="7" t="s">
        <v>17</v>
      </c>
      <c r="N18" s="7" t="s">
        <v>17</v>
      </c>
      <c r="O18" s="7" t="s">
        <v>17</v>
      </c>
      <c r="P18" s="7" t="s">
        <v>17</v>
      </c>
      <c r="Q18" s="7" t="s">
        <v>33</v>
      </c>
      <c r="R18" s="7" t="s">
        <v>17</v>
      </c>
    </row>
    <row r="19" spans="1:18" ht="16" x14ac:dyDescent="0.2">
      <c r="A19" s="10">
        <v>105</v>
      </c>
      <c r="B19" s="10" t="s">
        <v>89</v>
      </c>
      <c r="C19" s="10" t="s">
        <v>90</v>
      </c>
      <c r="D19" s="10" t="s">
        <v>91</v>
      </c>
      <c r="E19" s="10" t="s">
        <v>92</v>
      </c>
      <c r="F19" t="str">
        <f t="shared" si="1"/>
        <v>https://doi.org/10.1016/j.hrthm.2015.09.027</v>
      </c>
      <c r="H19" t="b">
        <f t="shared" si="0"/>
        <v>0</v>
      </c>
      <c r="I19">
        <v>5</v>
      </c>
      <c r="J19" s="7" t="s">
        <v>17</v>
      </c>
      <c r="K19" s="8" t="s">
        <v>18</v>
      </c>
      <c r="L19" s="7" t="s">
        <v>23</v>
      </c>
      <c r="M19" s="7" t="s">
        <v>17</v>
      </c>
      <c r="N19" s="7" t="s">
        <v>17</v>
      </c>
      <c r="O19" s="7" t="s">
        <v>17</v>
      </c>
      <c r="P19" s="7" t="s">
        <v>17</v>
      </c>
      <c r="Q19" s="7" t="s">
        <v>23</v>
      </c>
      <c r="R19" s="7" t="s">
        <v>17</v>
      </c>
    </row>
    <row r="20" spans="1:18" ht="16" x14ac:dyDescent="0.2">
      <c r="A20" s="10">
        <v>120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  <c r="H20" t="b">
        <f t="shared" si="0"/>
        <v>0</v>
      </c>
      <c r="I20">
        <v>5</v>
      </c>
      <c r="J20" s="7" t="s">
        <v>17</v>
      </c>
      <c r="K20" s="8" t="s">
        <v>18</v>
      </c>
      <c r="L20" s="7" t="s">
        <v>17</v>
      </c>
      <c r="M20" s="7" t="s">
        <v>17</v>
      </c>
      <c r="N20" s="7" t="s">
        <v>34</v>
      </c>
      <c r="O20" s="7" t="s">
        <v>17</v>
      </c>
      <c r="P20" s="7" t="s">
        <v>17</v>
      </c>
      <c r="Q20" s="7" t="s">
        <v>23</v>
      </c>
      <c r="R20" s="7" t="s">
        <v>17</v>
      </c>
    </row>
    <row r="21" spans="1:18" ht="16" x14ac:dyDescent="0.2">
      <c r="A21" s="10">
        <v>126</v>
      </c>
      <c r="B21" s="10" t="s">
        <v>98</v>
      </c>
      <c r="C21" s="10" t="s">
        <v>44</v>
      </c>
      <c r="D21" s="10" t="s">
        <v>99</v>
      </c>
      <c r="E21" s="10" t="s">
        <v>100</v>
      </c>
      <c r="F21" t="str">
        <f t="shared" si="1"/>
        <v>https://doi.org/10.1016/j.hrthm.2007.02.026</v>
      </c>
      <c r="H21" t="b">
        <f t="shared" si="0"/>
        <v>0</v>
      </c>
      <c r="I21">
        <v>5</v>
      </c>
      <c r="J21" s="7" t="s">
        <v>17</v>
      </c>
      <c r="K21" s="8" t="s">
        <v>18</v>
      </c>
      <c r="L21" s="7" t="s">
        <v>24</v>
      </c>
      <c r="M21" s="7" t="s">
        <v>17</v>
      </c>
      <c r="N21" s="7" t="s">
        <v>17</v>
      </c>
      <c r="O21" s="7" t="s">
        <v>17</v>
      </c>
      <c r="P21" s="7" t="s">
        <v>17</v>
      </c>
      <c r="Q21" s="7" t="s">
        <v>23</v>
      </c>
      <c r="R21" s="7" t="s">
        <v>17</v>
      </c>
    </row>
    <row r="22" spans="1:18" ht="16" x14ac:dyDescent="0.2">
      <c r="A22" s="10">
        <v>130</v>
      </c>
      <c r="B22" s="10" t="s">
        <v>101</v>
      </c>
      <c r="C22" s="10" t="s">
        <v>102</v>
      </c>
      <c r="D22" s="10" t="s">
        <v>103</v>
      </c>
      <c r="E22" s="10" t="s">
        <v>104</v>
      </c>
      <c r="F22" t="str">
        <f t="shared" si="1"/>
        <v>https://doi.org/10.1007/s00414-015-1237-8</v>
      </c>
      <c r="H22" t="b">
        <f t="shared" si="0"/>
        <v>0</v>
      </c>
      <c r="I22">
        <v>5</v>
      </c>
      <c r="J22" s="7" t="s">
        <v>17</v>
      </c>
      <c r="K22" s="8" t="s">
        <v>18</v>
      </c>
      <c r="L22" s="7" t="s">
        <v>24</v>
      </c>
      <c r="M22" s="7" t="s">
        <v>17</v>
      </c>
      <c r="N22" s="7" t="s">
        <v>17</v>
      </c>
      <c r="O22" s="7" t="s">
        <v>17</v>
      </c>
      <c r="P22" s="7" t="s">
        <v>17</v>
      </c>
      <c r="Q22" s="7" t="s">
        <v>17</v>
      </c>
      <c r="R22" s="7" t="s">
        <v>17</v>
      </c>
    </row>
    <row r="23" spans="1:18" ht="16" x14ac:dyDescent="0.2">
      <c r="A23" s="10">
        <v>166</v>
      </c>
      <c r="B23" s="10" t="s">
        <v>105</v>
      </c>
      <c r="C23" s="10" t="s">
        <v>106</v>
      </c>
      <c r="D23" s="10" t="s">
        <v>107</v>
      </c>
      <c r="E23" s="10" t="s">
        <v>108</v>
      </c>
      <c r="F23" t="str">
        <f t="shared" si="1"/>
        <v>https://doi.org/10.1038/jhg.2017.8</v>
      </c>
      <c r="H23" t="b">
        <f t="shared" si="0"/>
        <v>0</v>
      </c>
      <c r="I23">
        <v>5</v>
      </c>
      <c r="J23" s="7" t="s">
        <v>17</v>
      </c>
      <c r="K23" s="8" t="s">
        <v>18</v>
      </c>
      <c r="L23" s="7" t="s">
        <v>17</v>
      </c>
      <c r="M23" s="7" t="s">
        <v>17</v>
      </c>
      <c r="N23" s="7" t="s">
        <v>17</v>
      </c>
      <c r="O23" s="7" t="s">
        <v>17</v>
      </c>
      <c r="P23" s="7" t="s">
        <v>17</v>
      </c>
      <c r="Q23" s="7" t="s">
        <v>17</v>
      </c>
      <c r="R23" s="7" t="s">
        <v>17</v>
      </c>
    </row>
    <row r="24" spans="1:18" ht="16" x14ac:dyDescent="0.2">
      <c r="A24" s="10">
        <v>182</v>
      </c>
      <c r="B24" s="10" t="s">
        <v>109</v>
      </c>
      <c r="C24" s="10" t="s">
        <v>110</v>
      </c>
      <c r="D24" s="10" t="s">
        <v>111</v>
      </c>
      <c r="E24" s="10" t="s">
        <v>112</v>
      </c>
      <c r="F24" t="str">
        <f t="shared" si="1"/>
        <v>https://doi.org/10.1016/j.amjcard.2019.02.061</v>
      </c>
      <c r="H24" t="b">
        <f t="shared" si="0"/>
        <v>0</v>
      </c>
      <c r="I24">
        <v>5</v>
      </c>
      <c r="J24" s="7" t="s">
        <v>17</v>
      </c>
      <c r="K24" s="8" t="s">
        <v>18</v>
      </c>
      <c r="L24" s="7" t="s">
        <v>24</v>
      </c>
      <c r="M24" s="7" t="s">
        <v>17</v>
      </c>
      <c r="N24" s="7" t="s">
        <v>17</v>
      </c>
      <c r="O24" s="7" t="s">
        <v>17</v>
      </c>
      <c r="P24" s="7" t="s">
        <v>17</v>
      </c>
      <c r="Q24" s="7" t="s">
        <v>17</v>
      </c>
      <c r="R24" s="7" t="s">
        <v>17</v>
      </c>
    </row>
    <row r="25" spans="1:18" ht="16" x14ac:dyDescent="0.2">
      <c r="A25" s="10">
        <v>183</v>
      </c>
      <c r="B25" s="10" t="s">
        <v>113</v>
      </c>
      <c r="C25" s="10" t="s">
        <v>114</v>
      </c>
      <c r="D25" s="10" t="s">
        <v>115</v>
      </c>
      <c r="E25" s="10" t="s">
        <v>116</v>
      </c>
      <c r="F25" t="str">
        <f t="shared" si="1"/>
        <v>https://doi.org/10.1093/jnen/nlz136</v>
      </c>
      <c r="H25" t="b">
        <f t="shared" si="0"/>
        <v>0</v>
      </c>
      <c r="I25">
        <v>5</v>
      </c>
      <c r="J25" s="7" t="s">
        <v>17</v>
      </c>
      <c r="K25" s="8" t="s">
        <v>18</v>
      </c>
      <c r="L25" s="7" t="s">
        <v>23</v>
      </c>
      <c r="M25" s="7" t="s">
        <v>17</v>
      </c>
      <c r="N25" s="7" t="s">
        <v>17</v>
      </c>
      <c r="O25" s="7" t="s">
        <v>17</v>
      </c>
      <c r="P25" s="7" t="s">
        <v>17</v>
      </c>
      <c r="Q25" s="7" t="s">
        <v>17</v>
      </c>
      <c r="R25" s="7" t="s">
        <v>17</v>
      </c>
    </row>
    <row r="26" spans="1:18" ht="16" x14ac:dyDescent="0.2">
      <c r="A26" s="10">
        <v>188</v>
      </c>
      <c r="B26" s="10" t="s">
        <v>117</v>
      </c>
      <c r="C26" s="10" t="s">
        <v>118</v>
      </c>
      <c r="D26" s="10" t="s">
        <v>119</v>
      </c>
      <c r="E26" s="10" t="s">
        <v>120</v>
      </c>
      <c r="F26" t="str">
        <f t="shared" si="1"/>
        <v>https://doi.org/10.1097/PCC.0000000000001847</v>
      </c>
      <c r="H26" t="b">
        <f t="shared" si="0"/>
        <v>0</v>
      </c>
      <c r="I26">
        <v>5</v>
      </c>
      <c r="J26" s="7" t="s">
        <v>17</v>
      </c>
      <c r="K26" s="8" t="s">
        <v>18</v>
      </c>
      <c r="L26" s="7" t="s">
        <v>23</v>
      </c>
      <c r="M26" s="7" t="s">
        <v>17</v>
      </c>
      <c r="N26" s="7" t="s">
        <v>17</v>
      </c>
      <c r="O26" s="7" t="s">
        <v>17</v>
      </c>
      <c r="P26" s="7" t="s">
        <v>17</v>
      </c>
      <c r="Q26" s="7" t="s">
        <v>33</v>
      </c>
      <c r="R26" s="7" t="s">
        <v>17</v>
      </c>
    </row>
    <row r="27" spans="1:18" ht="16" x14ac:dyDescent="0.2">
      <c r="A27">
        <v>196</v>
      </c>
      <c r="B27" t="s">
        <v>121</v>
      </c>
      <c r="C27" t="s">
        <v>122</v>
      </c>
      <c r="D27" t="s">
        <v>123</v>
      </c>
      <c r="E27" t="s">
        <v>124</v>
      </c>
      <c r="F27" t="s">
        <v>125</v>
      </c>
      <c r="H27" t="b">
        <f t="shared" si="0"/>
        <v>0</v>
      </c>
      <c r="I27">
        <v>5</v>
      </c>
      <c r="J27" s="7" t="s">
        <v>17</v>
      </c>
      <c r="K27" s="8" t="s">
        <v>18</v>
      </c>
      <c r="L27" s="7" t="s">
        <v>23</v>
      </c>
      <c r="M27" s="7" t="s">
        <v>17</v>
      </c>
      <c r="N27" s="7" t="s">
        <v>23</v>
      </c>
      <c r="O27" s="7" t="s">
        <v>17</v>
      </c>
      <c r="P27" s="7" t="s">
        <v>17</v>
      </c>
      <c r="Q27" s="7" t="s">
        <v>33</v>
      </c>
      <c r="R27" s="7" t="s">
        <v>17</v>
      </c>
    </row>
    <row r="28" spans="1:18" ht="16" x14ac:dyDescent="0.2">
      <c r="A28" s="10">
        <v>211</v>
      </c>
      <c r="B28" s="10" t="s">
        <v>126</v>
      </c>
      <c r="C28" s="10" t="s">
        <v>127</v>
      </c>
      <c r="D28" s="10" t="s">
        <v>128</v>
      </c>
      <c r="E28" s="10" t="s">
        <v>129</v>
      </c>
      <c r="F28" t="str">
        <f t="shared" si="1"/>
        <v>https://doi.org/10.1016/j.cjca.2014.07.570</v>
      </c>
      <c r="H28" t="b">
        <f t="shared" si="0"/>
        <v>1</v>
      </c>
      <c r="I28">
        <v>1</v>
      </c>
      <c r="J28" s="7" t="s">
        <v>17</v>
      </c>
      <c r="K28" s="8" t="s">
        <v>23</v>
      </c>
      <c r="L28" s="7" t="s">
        <v>23</v>
      </c>
      <c r="M28" s="7" t="s">
        <v>17</v>
      </c>
      <c r="N28" s="7" t="s">
        <v>17</v>
      </c>
      <c r="O28" s="7" t="s">
        <v>23</v>
      </c>
      <c r="P28" s="7" t="s">
        <v>17</v>
      </c>
      <c r="Q28" s="7" t="s">
        <v>23</v>
      </c>
      <c r="R28" s="7" t="s">
        <v>17</v>
      </c>
    </row>
    <row r="29" spans="1:18" ht="16" x14ac:dyDescent="0.2">
      <c r="A29" s="10">
        <v>213</v>
      </c>
      <c r="B29" s="10" t="s">
        <v>130</v>
      </c>
      <c r="C29" s="10" t="s">
        <v>131</v>
      </c>
      <c r="D29" s="10" t="s">
        <v>132</v>
      </c>
      <c r="E29" s="10" t="s">
        <v>133</v>
      </c>
      <c r="F29" t="str">
        <f t="shared" si="1"/>
        <v>https://doi.org/10.1016/j.forsciint.2014.01.014</v>
      </c>
      <c r="G29" s="10"/>
      <c r="H29" t="b">
        <f t="shared" si="0"/>
        <v>0</v>
      </c>
      <c r="I29">
        <v>5</v>
      </c>
      <c r="J29" s="7" t="s">
        <v>17</v>
      </c>
      <c r="K29" s="8" t="s">
        <v>18</v>
      </c>
      <c r="L29" s="7" t="s">
        <v>24</v>
      </c>
      <c r="M29" s="7" t="s">
        <v>17</v>
      </c>
      <c r="N29" s="7" t="s">
        <v>17</v>
      </c>
      <c r="O29" s="7" t="s">
        <v>17</v>
      </c>
      <c r="P29" s="7" t="s">
        <v>17</v>
      </c>
      <c r="Q29" s="7" t="s">
        <v>17</v>
      </c>
      <c r="R29" s="7" t="s">
        <v>17</v>
      </c>
    </row>
    <row r="30" spans="1:18" ht="16" x14ac:dyDescent="0.2">
      <c r="A30" s="10">
        <v>246</v>
      </c>
      <c r="B30" s="10" t="s">
        <v>134</v>
      </c>
      <c r="C30" s="10" t="s">
        <v>135</v>
      </c>
      <c r="D30" s="10" t="s">
        <v>136</v>
      </c>
      <c r="E30" s="10" t="s">
        <v>137</v>
      </c>
      <c r="F30" t="str">
        <f t="shared" si="1"/>
        <v>https://doi.org/10.1253/circj.70.1402</v>
      </c>
      <c r="H30" t="b">
        <f t="shared" si="0"/>
        <v>0</v>
      </c>
      <c r="I30">
        <v>5</v>
      </c>
      <c r="J30" s="7" t="s">
        <v>17</v>
      </c>
      <c r="K30" s="8" t="s">
        <v>18</v>
      </c>
      <c r="L30" s="7" t="s">
        <v>24</v>
      </c>
      <c r="M30" s="7" t="s">
        <v>17</v>
      </c>
      <c r="N30" s="7" t="s">
        <v>17</v>
      </c>
      <c r="O30" s="7" t="s">
        <v>17</v>
      </c>
      <c r="P30" s="7" t="s">
        <v>17</v>
      </c>
      <c r="Q30" s="7" t="s">
        <v>33</v>
      </c>
      <c r="R30" s="7" t="s">
        <v>17</v>
      </c>
    </row>
    <row r="31" spans="1:18" ht="16" x14ac:dyDescent="0.2">
      <c r="A31" s="10">
        <v>264</v>
      </c>
      <c r="B31" s="10" t="s">
        <v>138</v>
      </c>
      <c r="C31" s="10" t="s">
        <v>139</v>
      </c>
      <c r="D31" s="10" t="s">
        <v>140</v>
      </c>
      <c r="E31" s="10" t="s">
        <v>141</v>
      </c>
      <c r="F31" t="str">
        <f t="shared" si="1"/>
        <v>https://doi.org/10.2143/AC.69.1.3011350</v>
      </c>
      <c r="H31" t="b">
        <f t="shared" si="0"/>
        <v>1</v>
      </c>
      <c r="I31">
        <v>1</v>
      </c>
      <c r="J31" s="7" t="s">
        <v>23</v>
      </c>
      <c r="K31" s="8" t="s">
        <v>23</v>
      </c>
      <c r="L31" s="7" t="s">
        <v>23</v>
      </c>
      <c r="M31" s="7" t="s">
        <v>17</v>
      </c>
      <c r="N31" s="7" t="s">
        <v>23</v>
      </c>
      <c r="O31" s="7" t="s">
        <v>23</v>
      </c>
      <c r="P31" s="7" t="s">
        <v>17</v>
      </c>
      <c r="Q31" s="7" t="s">
        <v>23</v>
      </c>
      <c r="R31" s="7" t="s">
        <v>17</v>
      </c>
    </row>
    <row r="32" spans="1:18" ht="16" x14ac:dyDescent="0.2">
      <c r="A32">
        <v>265</v>
      </c>
      <c r="B32" t="s">
        <v>142</v>
      </c>
      <c r="C32" t="s">
        <v>143</v>
      </c>
      <c r="D32" t="s">
        <v>27</v>
      </c>
      <c r="E32" t="s">
        <v>144</v>
      </c>
      <c r="F32" t="s">
        <v>27</v>
      </c>
      <c r="H32" t="b">
        <f t="shared" si="0"/>
        <v>1</v>
      </c>
      <c r="I32">
        <v>1</v>
      </c>
      <c r="J32" t="s">
        <v>17</v>
      </c>
      <c r="K32" s="8" t="s">
        <v>23</v>
      </c>
      <c r="L32" s="7" t="s">
        <v>23</v>
      </c>
      <c r="M32" s="7" t="s">
        <v>17</v>
      </c>
      <c r="N32" s="7" t="s">
        <v>23</v>
      </c>
      <c r="O32" s="7" t="s">
        <v>23</v>
      </c>
      <c r="P32" s="7" t="s">
        <v>24</v>
      </c>
      <c r="Q32" s="7" t="s">
        <v>23</v>
      </c>
      <c r="R32" s="7" t="s">
        <v>23</v>
      </c>
    </row>
    <row r="33" spans="1:18" ht="16" x14ac:dyDescent="0.2">
      <c r="A33" s="10">
        <v>273</v>
      </c>
      <c r="B33" t="s">
        <v>145</v>
      </c>
      <c r="C33" t="s">
        <v>146</v>
      </c>
      <c r="D33" t="s">
        <v>147</v>
      </c>
      <c r="E33" t="s">
        <v>148</v>
      </c>
      <c r="F33" t="s">
        <v>149</v>
      </c>
      <c r="H33" t="b">
        <f t="shared" si="0"/>
        <v>0</v>
      </c>
      <c r="I33">
        <v>5</v>
      </c>
      <c r="J33" s="7" t="s">
        <v>23</v>
      </c>
      <c r="K33" s="8" t="s">
        <v>23</v>
      </c>
      <c r="L33" s="7" t="s">
        <v>23</v>
      </c>
      <c r="M33" s="7" t="s">
        <v>23</v>
      </c>
      <c r="N33" s="7" t="s">
        <v>17</v>
      </c>
      <c r="O33" s="7" t="s">
        <v>23</v>
      </c>
      <c r="P33" s="7" t="s">
        <v>34</v>
      </c>
      <c r="Q33" s="7" t="s">
        <v>33</v>
      </c>
      <c r="R33" s="7" t="s">
        <v>17</v>
      </c>
    </row>
    <row r="34" spans="1:18" ht="16" x14ac:dyDescent="0.2">
      <c r="A34">
        <v>282</v>
      </c>
      <c r="B34" t="s">
        <v>150</v>
      </c>
      <c r="C34" t="s">
        <v>151</v>
      </c>
      <c r="D34" t="s">
        <v>152</v>
      </c>
      <c r="E34" t="s">
        <v>153</v>
      </c>
      <c r="F34" t="s">
        <v>154</v>
      </c>
      <c r="H34" t="b">
        <f t="shared" si="0"/>
        <v>0</v>
      </c>
      <c r="I34">
        <v>5</v>
      </c>
      <c r="J34" s="7" t="s">
        <v>17</v>
      </c>
      <c r="K34" s="8" t="s">
        <v>18</v>
      </c>
      <c r="L34" s="7" t="s">
        <v>23</v>
      </c>
      <c r="M34" s="7" t="s">
        <v>17</v>
      </c>
      <c r="N34" s="7" t="s">
        <v>34</v>
      </c>
      <c r="O34" s="7" t="s">
        <v>17</v>
      </c>
      <c r="P34" s="7" t="s">
        <v>17</v>
      </c>
      <c r="Q34" s="7" t="s">
        <v>33</v>
      </c>
      <c r="R34" s="7" t="s">
        <v>17</v>
      </c>
    </row>
    <row r="35" spans="1:18" ht="16" x14ac:dyDescent="0.2">
      <c r="A35" s="10">
        <v>283</v>
      </c>
      <c r="B35" s="10" t="s">
        <v>155</v>
      </c>
      <c r="C35" s="10" t="s">
        <v>156</v>
      </c>
      <c r="D35" s="10" t="s">
        <v>157</v>
      </c>
      <c r="E35" s="10" t="s">
        <v>158</v>
      </c>
      <c r="F35" t="str">
        <f t="shared" si="1"/>
        <v>https://doi.org/10.1016/j.rec.2014.04.023</v>
      </c>
      <c r="H35" t="b">
        <f t="shared" si="0"/>
        <v>0</v>
      </c>
      <c r="I35">
        <v>5</v>
      </c>
      <c r="J35" s="7" t="s">
        <v>17</v>
      </c>
      <c r="K35" s="8" t="s">
        <v>18</v>
      </c>
      <c r="L35" s="7" t="s">
        <v>23</v>
      </c>
      <c r="M35" s="7" t="s">
        <v>17</v>
      </c>
      <c r="N35" s="7" t="s">
        <v>17</v>
      </c>
      <c r="O35" s="7" t="s">
        <v>17</v>
      </c>
      <c r="P35" s="7" t="s">
        <v>17</v>
      </c>
      <c r="Q35" s="7" t="s">
        <v>17</v>
      </c>
      <c r="R35" s="7" t="s">
        <v>17</v>
      </c>
    </row>
    <row r="36" spans="1:18" ht="16" x14ac:dyDescent="0.2">
      <c r="A36">
        <v>302</v>
      </c>
      <c r="B36" t="s">
        <v>159</v>
      </c>
      <c r="C36" t="s">
        <v>160</v>
      </c>
      <c r="D36" t="s">
        <v>161</v>
      </c>
      <c r="E36" t="s">
        <v>162</v>
      </c>
      <c r="F36" t="s">
        <v>163</v>
      </c>
      <c r="H36" t="b">
        <f t="shared" si="0"/>
        <v>0</v>
      </c>
      <c r="I36">
        <v>5</v>
      </c>
      <c r="J36" t="s">
        <v>17</v>
      </c>
      <c r="K36" s="3" t="s">
        <v>23</v>
      </c>
      <c r="L36" t="s">
        <v>23</v>
      </c>
      <c r="M36" s="7" t="s">
        <v>17</v>
      </c>
      <c r="N36" s="7" t="s">
        <v>17</v>
      </c>
      <c r="O36" s="7" t="s">
        <v>17</v>
      </c>
      <c r="P36" s="7" t="s">
        <v>17</v>
      </c>
      <c r="Q36" s="7" t="s">
        <v>23</v>
      </c>
      <c r="R36" s="7" t="s">
        <v>17</v>
      </c>
    </row>
    <row r="37" spans="1:18" ht="16" x14ac:dyDescent="0.2">
      <c r="A37" s="10">
        <v>346</v>
      </c>
      <c r="B37" s="10" t="s">
        <v>164</v>
      </c>
      <c r="C37" s="10" t="s">
        <v>165</v>
      </c>
      <c r="D37" s="10" t="s">
        <v>166</v>
      </c>
      <c r="E37" s="10" t="s">
        <v>167</v>
      </c>
      <c r="F37" t="str">
        <f t="shared" si="1"/>
        <v>https://doi.org/10.2353/jmoldx.2006.050081</v>
      </c>
      <c r="H37" t="b">
        <f t="shared" si="0"/>
        <v>0</v>
      </c>
      <c r="I37">
        <v>5</v>
      </c>
      <c r="J37" s="7" t="s">
        <v>17</v>
      </c>
      <c r="K37" s="8" t="s">
        <v>18</v>
      </c>
      <c r="L37" s="7" t="s">
        <v>23</v>
      </c>
      <c r="M37" s="7" t="s">
        <v>17</v>
      </c>
      <c r="N37" s="7" t="s">
        <v>17</v>
      </c>
      <c r="O37" s="7" t="s">
        <v>17</v>
      </c>
      <c r="P37" s="7" t="s">
        <v>17</v>
      </c>
      <c r="Q37" s="7" t="s">
        <v>33</v>
      </c>
      <c r="R37" s="7" t="s">
        <v>17</v>
      </c>
    </row>
    <row r="38" spans="1:18" ht="16" x14ac:dyDescent="0.2">
      <c r="A38" s="10">
        <v>351</v>
      </c>
      <c r="B38" s="10" t="s">
        <v>168</v>
      </c>
      <c r="C38" s="10" t="s">
        <v>169</v>
      </c>
      <c r="D38" s="10" t="s">
        <v>170</v>
      </c>
      <c r="E38" s="10" t="s">
        <v>171</v>
      </c>
      <c r="F38" t="str">
        <f t="shared" si="1"/>
        <v>https://doi.org/10.1007/s00414-014-1105-y</v>
      </c>
      <c r="G38" s="10">
        <v>12</v>
      </c>
      <c r="H38" t="b">
        <f t="shared" si="0"/>
        <v>0</v>
      </c>
      <c r="I38">
        <v>5</v>
      </c>
      <c r="J38" s="7" t="s">
        <v>17</v>
      </c>
      <c r="K38" s="8" t="s">
        <v>18</v>
      </c>
      <c r="L38" s="7" t="s">
        <v>23</v>
      </c>
      <c r="M38" s="7" t="s">
        <v>17</v>
      </c>
      <c r="N38" s="7" t="s">
        <v>17</v>
      </c>
      <c r="O38" s="7" t="s">
        <v>17</v>
      </c>
      <c r="P38" s="7" t="s">
        <v>17</v>
      </c>
      <c r="Q38" s="7" t="s">
        <v>17</v>
      </c>
      <c r="R38" s="7" t="s">
        <v>17</v>
      </c>
    </row>
    <row r="39" spans="1:18" ht="16" x14ac:dyDescent="0.2">
      <c r="A39">
        <v>363</v>
      </c>
      <c r="B39" t="s">
        <v>172</v>
      </c>
      <c r="C39" t="s">
        <v>173</v>
      </c>
      <c r="D39" t="s">
        <v>174</v>
      </c>
      <c r="E39" t="s">
        <v>175</v>
      </c>
      <c r="F39" t="s">
        <v>176</v>
      </c>
      <c r="H39" t="b">
        <f t="shared" si="0"/>
        <v>0</v>
      </c>
      <c r="I39">
        <v>5</v>
      </c>
      <c r="J39" s="7" t="s">
        <v>17</v>
      </c>
      <c r="K39" s="9" t="s">
        <v>18</v>
      </c>
      <c r="L39" t="s">
        <v>17</v>
      </c>
      <c r="M39" s="7" t="s">
        <v>17</v>
      </c>
      <c r="N39" s="7" t="s">
        <v>17</v>
      </c>
      <c r="O39" s="7" t="s">
        <v>17</v>
      </c>
      <c r="P39" s="7" t="s">
        <v>17</v>
      </c>
      <c r="Q39" s="7" t="s">
        <v>17</v>
      </c>
      <c r="R39" s="7" t="s">
        <v>17</v>
      </c>
    </row>
    <row r="40" spans="1:18" ht="16" x14ac:dyDescent="0.2">
      <c r="A40">
        <v>374</v>
      </c>
      <c r="B40" t="s">
        <v>177</v>
      </c>
      <c r="C40" t="s">
        <v>20</v>
      </c>
      <c r="D40" t="s">
        <v>178</v>
      </c>
      <c r="E40" t="s">
        <v>179</v>
      </c>
      <c r="F40" t="s">
        <v>180</v>
      </c>
      <c r="G40">
        <v>12</v>
      </c>
      <c r="H40" t="b">
        <f t="shared" si="0"/>
        <v>0</v>
      </c>
      <c r="I40">
        <v>5</v>
      </c>
      <c r="J40" t="s">
        <v>17</v>
      </c>
      <c r="K40" s="8" t="s">
        <v>18</v>
      </c>
      <c r="L40" s="7" t="s">
        <v>17</v>
      </c>
      <c r="M40" s="7" t="s">
        <v>17</v>
      </c>
      <c r="N40" s="7" t="s">
        <v>34</v>
      </c>
      <c r="O40" s="7" t="s">
        <v>17</v>
      </c>
      <c r="P40" s="7" t="s">
        <v>17</v>
      </c>
      <c r="Q40" s="7" t="s">
        <v>17</v>
      </c>
      <c r="R40" s="7" t="s">
        <v>17</v>
      </c>
    </row>
    <row r="41" spans="1:18" ht="16" x14ac:dyDescent="0.2">
      <c r="A41">
        <v>381</v>
      </c>
      <c r="B41" t="s">
        <v>181</v>
      </c>
      <c r="C41" t="s">
        <v>182</v>
      </c>
      <c r="D41" t="s">
        <v>183</v>
      </c>
      <c r="E41" t="s">
        <v>184</v>
      </c>
      <c r="F41" t="s">
        <v>185</v>
      </c>
      <c r="H41" t="b">
        <f t="shared" si="0"/>
        <v>1</v>
      </c>
      <c r="I41">
        <v>1</v>
      </c>
      <c r="J41" t="s">
        <v>17</v>
      </c>
      <c r="K41" s="9" t="s">
        <v>23</v>
      </c>
      <c r="L41" t="s">
        <v>24</v>
      </c>
      <c r="M41" s="7" t="s">
        <v>17</v>
      </c>
      <c r="N41" s="7" t="s">
        <v>33</v>
      </c>
      <c r="O41" s="7" t="s">
        <v>24</v>
      </c>
      <c r="P41" s="7" t="s">
        <v>24</v>
      </c>
      <c r="Q41" s="7" t="s">
        <v>23</v>
      </c>
      <c r="R41" s="7" t="s">
        <v>23</v>
      </c>
    </row>
    <row r="42" spans="1:18" ht="16" x14ac:dyDescent="0.2">
      <c r="A42" s="10">
        <v>390</v>
      </c>
      <c r="B42" s="10" t="s">
        <v>186</v>
      </c>
      <c r="C42" s="10" t="s">
        <v>187</v>
      </c>
      <c r="D42" s="10" t="s">
        <v>188</v>
      </c>
      <c r="E42" s="10" t="s">
        <v>189</v>
      </c>
      <c r="F42" t="str">
        <f t="shared" si="1"/>
        <v>https://doi.org/10.12809/hkmj154653</v>
      </c>
      <c r="H42" t="b">
        <f t="shared" si="0"/>
        <v>0</v>
      </c>
      <c r="I42">
        <v>5</v>
      </c>
      <c r="J42" s="7" t="s">
        <v>17</v>
      </c>
      <c r="K42" s="8" t="s">
        <v>18</v>
      </c>
      <c r="L42" s="7" t="s">
        <v>23</v>
      </c>
      <c r="M42" s="7" t="s">
        <v>17</v>
      </c>
      <c r="N42" s="7" t="s">
        <v>17</v>
      </c>
      <c r="O42" s="7" t="s">
        <v>17</v>
      </c>
      <c r="P42" s="7" t="s">
        <v>17</v>
      </c>
      <c r="Q42" s="7" t="s">
        <v>33</v>
      </c>
      <c r="R42" s="7" t="s">
        <v>17</v>
      </c>
    </row>
    <row r="43" spans="1:18" ht="16" x14ac:dyDescent="0.2">
      <c r="A43" s="10">
        <v>420</v>
      </c>
      <c r="B43" s="10" t="s">
        <v>190</v>
      </c>
      <c r="C43" s="10" t="s">
        <v>191</v>
      </c>
      <c r="D43" s="10" t="s">
        <v>192</v>
      </c>
      <c r="E43" s="10" t="s">
        <v>193</v>
      </c>
      <c r="F43" t="str">
        <f t="shared" si="1"/>
        <v>https://doi.org/10.1002/mgg3.1151</v>
      </c>
      <c r="H43" t="b">
        <f t="shared" si="0"/>
        <v>0</v>
      </c>
      <c r="I43">
        <v>5</v>
      </c>
      <c r="J43" s="7" t="s">
        <v>17</v>
      </c>
      <c r="K43" s="8" t="s">
        <v>18</v>
      </c>
      <c r="L43" s="7" t="s">
        <v>23</v>
      </c>
      <c r="M43" s="7" t="s">
        <v>17</v>
      </c>
      <c r="N43" s="7" t="s">
        <v>17</v>
      </c>
      <c r="O43" s="7" t="s">
        <v>17</v>
      </c>
      <c r="P43" s="7" t="s">
        <v>17</v>
      </c>
      <c r="Q43" s="7" t="s">
        <v>33</v>
      </c>
      <c r="R43" s="7" t="s">
        <v>17</v>
      </c>
    </row>
    <row r="44" spans="1:18" ht="16" x14ac:dyDescent="0.2">
      <c r="A44" s="10">
        <v>448</v>
      </c>
      <c r="B44" s="10" t="s">
        <v>194</v>
      </c>
      <c r="C44" s="10" t="s">
        <v>26</v>
      </c>
      <c r="D44" s="10" t="s">
        <v>195</v>
      </c>
      <c r="E44" s="10" t="s">
        <v>196</v>
      </c>
      <c r="F44" t="str">
        <f t="shared" si="1"/>
        <v>https://doi.org/10.1253/circj.CJ-19-0720</v>
      </c>
      <c r="H44" t="b">
        <f t="shared" si="0"/>
        <v>0</v>
      </c>
      <c r="I44">
        <v>5</v>
      </c>
      <c r="J44" s="7" t="s">
        <v>17</v>
      </c>
      <c r="K44" s="8" t="s">
        <v>18</v>
      </c>
      <c r="L44" s="7" t="s">
        <v>24</v>
      </c>
      <c r="M44" s="7" t="s">
        <v>17</v>
      </c>
      <c r="N44" s="7" t="s">
        <v>17</v>
      </c>
      <c r="O44" s="7" t="s">
        <v>17</v>
      </c>
      <c r="P44" s="7" t="s">
        <v>17</v>
      </c>
      <c r="Q44" s="7" t="s">
        <v>33</v>
      </c>
      <c r="R44" s="7" t="s">
        <v>17</v>
      </c>
    </row>
    <row r="45" spans="1:18" ht="16" x14ac:dyDescent="0.2">
      <c r="A45" s="10">
        <v>456</v>
      </c>
      <c r="B45" s="10" t="s">
        <v>197</v>
      </c>
      <c r="C45" s="10" t="s">
        <v>76</v>
      </c>
      <c r="D45" s="10" t="s">
        <v>198</v>
      </c>
      <c r="E45" s="10" t="s">
        <v>199</v>
      </c>
      <c r="F45" t="str">
        <f t="shared" si="1"/>
        <v>https://doi.org/10.1136/heartjnl-2012-302920a.65</v>
      </c>
      <c r="G45" s="10">
        <v>12</v>
      </c>
      <c r="H45" t="b">
        <f t="shared" si="0"/>
        <v>1</v>
      </c>
      <c r="I45">
        <v>1</v>
      </c>
      <c r="J45" s="7" t="s">
        <v>17</v>
      </c>
      <c r="K45" s="8" t="s">
        <v>23</v>
      </c>
      <c r="L45" s="7" t="s">
        <v>24</v>
      </c>
      <c r="M45" s="7" t="s">
        <v>24</v>
      </c>
      <c r="N45" s="7" t="s">
        <v>23</v>
      </c>
      <c r="O45" s="7" t="s">
        <v>23</v>
      </c>
      <c r="P45" s="7" t="s">
        <v>17</v>
      </c>
      <c r="Q45" s="7" t="s">
        <v>23</v>
      </c>
      <c r="R45" s="7" t="s">
        <v>17</v>
      </c>
    </row>
    <row r="46" spans="1:18" ht="16" x14ac:dyDescent="0.2">
      <c r="A46" s="10">
        <v>485</v>
      </c>
      <c r="B46" s="10" t="s">
        <v>200</v>
      </c>
      <c r="C46" s="10" t="s">
        <v>201</v>
      </c>
      <c r="D46" s="10" t="s">
        <v>202</v>
      </c>
      <c r="E46" s="10" t="s">
        <v>203</v>
      </c>
      <c r="F46" t="str">
        <f t="shared" si="1"/>
        <v>https://doi.org/10.1007/s00414-018-1775-y</v>
      </c>
      <c r="G46" s="10">
        <v>12</v>
      </c>
      <c r="H46" t="b">
        <f t="shared" si="0"/>
        <v>0</v>
      </c>
      <c r="I46">
        <v>5</v>
      </c>
      <c r="J46" s="7" t="s">
        <v>17</v>
      </c>
      <c r="K46" s="8" t="s">
        <v>18</v>
      </c>
      <c r="L46" s="7" t="s">
        <v>17</v>
      </c>
      <c r="M46" s="7" t="s">
        <v>17</v>
      </c>
      <c r="N46" s="7" t="s">
        <v>17</v>
      </c>
      <c r="O46" s="7" t="s">
        <v>17</v>
      </c>
      <c r="P46" s="7" t="s">
        <v>17</v>
      </c>
      <c r="Q46" s="7" t="s">
        <v>17</v>
      </c>
      <c r="R46" s="7" t="s">
        <v>17</v>
      </c>
    </row>
    <row r="47" spans="1:18" ht="16" x14ac:dyDescent="0.2">
      <c r="A47" s="10">
        <v>501</v>
      </c>
      <c r="B47" t="s">
        <v>204</v>
      </c>
      <c r="C47" t="s">
        <v>205</v>
      </c>
      <c r="D47" t="s">
        <v>206</v>
      </c>
      <c r="E47" t="s">
        <v>207</v>
      </c>
      <c r="F47" t="s">
        <v>208</v>
      </c>
      <c r="H47" t="b">
        <f t="shared" si="0"/>
        <v>0</v>
      </c>
      <c r="I47">
        <v>5</v>
      </c>
      <c r="J47" s="7" t="s">
        <v>17</v>
      </c>
      <c r="K47" s="8" t="s">
        <v>18</v>
      </c>
      <c r="L47" s="7" t="s">
        <v>23</v>
      </c>
      <c r="M47" s="7" t="s">
        <v>17</v>
      </c>
      <c r="N47" s="7" t="s">
        <v>23</v>
      </c>
      <c r="O47" s="7" t="s">
        <v>17</v>
      </c>
      <c r="P47" s="7" t="s">
        <v>17</v>
      </c>
      <c r="Q47" s="7" t="s">
        <v>33</v>
      </c>
      <c r="R47" s="7" t="s">
        <v>17</v>
      </c>
    </row>
    <row r="48" spans="1:18" ht="16" x14ac:dyDescent="0.2">
      <c r="A48" s="10">
        <v>504</v>
      </c>
      <c r="B48" t="s">
        <v>209</v>
      </c>
      <c r="C48" t="s">
        <v>210</v>
      </c>
      <c r="D48" t="s">
        <v>211</v>
      </c>
      <c r="E48" t="s">
        <v>212</v>
      </c>
      <c r="F48" t="s">
        <v>213</v>
      </c>
      <c r="H48" t="b">
        <f t="shared" si="0"/>
        <v>0</v>
      </c>
      <c r="I48">
        <v>5</v>
      </c>
      <c r="J48" s="7" t="s">
        <v>17</v>
      </c>
      <c r="K48" s="8" t="s">
        <v>18</v>
      </c>
      <c r="L48" s="7" t="s">
        <v>17</v>
      </c>
      <c r="M48" s="7" t="s">
        <v>17</v>
      </c>
      <c r="N48" s="7" t="s">
        <v>34</v>
      </c>
      <c r="O48" s="7" t="s">
        <v>17</v>
      </c>
      <c r="P48" s="7" t="s">
        <v>17</v>
      </c>
      <c r="Q48" s="7" t="s">
        <v>17</v>
      </c>
      <c r="R48" s="7" t="s">
        <v>17</v>
      </c>
    </row>
    <row r="49" spans="1:18" ht="16" x14ac:dyDescent="0.2">
      <c r="A49">
        <v>515</v>
      </c>
      <c r="B49" t="s">
        <v>214</v>
      </c>
      <c r="C49" t="s">
        <v>215</v>
      </c>
      <c r="D49" t="s">
        <v>216</v>
      </c>
      <c r="E49" t="s">
        <v>217</v>
      </c>
      <c r="F49" t="s">
        <v>218</v>
      </c>
      <c r="H49" t="b">
        <f t="shared" si="0"/>
        <v>0</v>
      </c>
      <c r="I49">
        <v>3</v>
      </c>
      <c r="J49" t="s">
        <v>17</v>
      </c>
      <c r="K49" s="1" t="s">
        <v>23</v>
      </c>
      <c r="L49" s="7" t="s">
        <v>23</v>
      </c>
      <c r="M49" s="7" t="s">
        <v>17</v>
      </c>
      <c r="N49" s="7" t="s">
        <v>23</v>
      </c>
      <c r="O49" s="7" t="s">
        <v>23</v>
      </c>
      <c r="P49" s="7" t="s">
        <v>24</v>
      </c>
      <c r="Q49" s="7" t="s">
        <v>23</v>
      </c>
      <c r="R49" s="7" t="s">
        <v>17</v>
      </c>
    </row>
    <row r="50" spans="1:18" ht="16" x14ac:dyDescent="0.2">
      <c r="A50" s="10">
        <v>540</v>
      </c>
      <c r="B50" s="10" t="s">
        <v>219</v>
      </c>
      <c r="C50" s="10" t="s">
        <v>220</v>
      </c>
      <c r="D50" s="10" t="s">
        <v>221</v>
      </c>
      <c r="E50" s="10" t="s">
        <v>222</v>
      </c>
      <c r="F50" t="str">
        <f t="shared" si="1"/>
        <v>https://doi.org/10.1016/j.jelectrocard.2017.10.002</v>
      </c>
      <c r="H50" t="b">
        <f t="shared" si="0"/>
        <v>0</v>
      </c>
      <c r="I50">
        <v>5</v>
      </c>
      <c r="J50" s="7" t="s">
        <v>17</v>
      </c>
      <c r="K50" s="8" t="s">
        <v>18</v>
      </c>
      <c r="L50" s="7" t="s">
        <v>23</v>
      </c>
      <c r="M50" s="7" t="s">
        <v>17</v>
      </c>
      <c r="N50" s="7" t="s">
        <v>17</v>
      </c>
      <c r="O50" s="7" t="s">
        <v>23</v>
      </c>
      <c r="P50" s="7" t="s">
        <v>17</v>
      </c>
      <c r="Q50" s="7" t="s">
        <v>23</v>
      </c>
      <c r="R50" s="7" t="s">
        <v>17</v>
      </c>
    </row>
    <row r="51" spans="1:18" ht="16" x14ac:dyDescent="0.2">
      <c r="A51">
        <v>550</v>
      </c>
      <c r="B51" t="s">
        <v>223</v>
      </c>
      <c r="C51" t="s">
        <v>20</v>
      </c>
      <c r="D51" t="s">
        <v>224</v>
      </c>
      <c r="E51" t="s">
        <v>225</v>
      </c>
      <c r="F51" t="s">
        <v>226</v>
      </c>
      <c r="H51" t="b">
        <f t="shared" si="0"/>
        <v>0</v>
      </c>
      <c r="I51">
        <v>5</v>
      </c>
      <c r="J51" s="7" t="s">
        <v>17</v>
      </c>
      <c r="K51" s="8" t="s">
        <v>18</v>
      </c>
      <c r="L51" s="7" t="s">
        <v>23</v>
      </c>
      <c r="M51" s="7" t="s">
        <v>17</v>
      </c>
      <c r="N51" s="7" t="s">
        <v>23</v>
      </c>
      <c r="O51" s="7" t="s">
        <v>17</v>
      </c>
      <c r="P51" s="7" t="s">
        <v>17</v>
      </c>
      <c r="Q51" s="7" t="s">
        <v>33</v>
      </c>
      <c r="R51" s="7" t="s">
        <v>17</v>
      </c>
    </row>
    <row r="52" spans="1:18" ht="16" x14ac:dyDescent="0.2">
      <c r="A52" s="10">
        <v>583</v>
      </c>
      <c r="B52" s="10" t="s">
        <v>227</v>
      </c>
      <c r="C52" s="10" t="s">
        <v>228</v>
      </c>
      <c r="D52" s="10" t="s">
        <v>27</v>
      </c>
      <c r="E52" s="10" t="s">
        <v>229</v>
      </c>
      <c r="F52" t="str">
        <f t="shared" si="1"/>
        <v/>
      </c>
      <c r="H52" t="b">
        <f t="shared" si="0"/>
        <v>1</v>
      </c>
      <c r="I52">
        <v>1</v>
      </c>
      <c r="J52" s="7" t="s">
        <v>17</v>
      </c>
      <c r="K52" s="8" t="s">
        <v>23</v>
      </c>
      <c r="L52" s="7" t="s">
        <v>17</v>
      </c>
      <c r="M52" s="7" t="s">
        <v>17</v>
      </c>
      <c r="N52" s="7" t="s">
        <v>23</v>
      </c>
      <c r="O52" s="7" t="s">
        <v>17</v>
      </c>
      <c r="P52" s="7" t="s">
        <v>17</v>
      </c>
      <c r="Q52" s="7" t="s">
        <v>23</v>
      </c>
      <c r="R52" s="7" t="s">
        <v>17</v>
      </c>
    </row>
    <row r="53" spans="1:18" ht="16" x14ac:dyDescent="0.2">
      <c r="A53">
        <v>627</v>
      </c>
      <c r="B53" t="s">
        <v>230</v>
      </c>
      <c r="C53" t="s">
        <v>231</v>
      </c>
      <c r="D53" t="s">
        <v>232</v>
      </c>
      <c r="E53" t="s">
        <v>233</v>
      </c>
      <c r="F53" t="s">
        <v>234</v>
      </c>
      <c r="H53" t="b">
        <f t="shared" si="0"/>
        <v>0</v>
      </c>
      <c r="I53">
        <v>5</v>
      </c>
      <c r="J53" t="s">
        <v>17</v>
      </c>
      <c r="K53" s="1" t="s">
        <v>23</v>
      </c>
      <c r="L53" s="7" t="s">
        <v>23</v>
      </c>
      <c r="M53" s="7" t="s">
        <v>17</v>
      </c>
      <c r="N53" s="7" t="s">
        <v>17</v>
      </c>
      <c r="O53" s="7" t="s">
        <v>17</v>
      </c>
      <c r="P53" s="7" t="s">
        <v>17</v>
      </c>
      <c r="Q53" s="7" t="s">
        <v>33</v>
      </c>
      <c r="R53" s="7" t="s">
        <v>17</v>
      </c>
    </row>
    <row r="54" spans="1:18" ht="16" x14ac:dyDescent="0.2">
      <c r="A54" s="10">
        <v>633</v>
      </c>
      <c r="B54" s="10" t="s">
        <v>235</v>
      </c>
      <c r="C54" s="10" t="s">
        <v>236</v>
      </c>
      <c r="D54" s="10" t="s">
        <v>237</v>
      </c>
      <c r="E54" s="10" t="s">
        <v>238</v>
      </c>
      <c r="F54" t="str">
        <f t="shared" si="1"/>
        <v>https://doi.org/10.1016/j.forsciint.2016.12.035</v>
      </c>
      <c r="G54" s="10">
        <v>12</v>
      </c>
      <c r="H54" t="b">
        <f t="shared" si="0"/>
        <v>0</v>
      </c>
      <c r="I54">
        <v>5</v>
      </c>
      <c r="J54" s="7" t="s">
        <v>17</v>
      </c>
      <c r="K54" s="8" t="s">
        <v>18</v>
      </c>
      <c r="L54" s="7" t="s">
        <v>23</v>
      </c>
      <c r="M54" s="7" t="s">
        <v>17</v>
      </c>
      <c r="N54" s="7" t="s">
        <v>17</v>
      </c>
      <c r="O54" s="7" t="s">
        <v>23</v>
      </c>
      <c r="P54" s="7" t="s">
        <v>17</v>
      </c>
      <c r="Q54" s="7" t="s">
        <v>33</v>
      </c>
      <c r="R54" s="7" t="s">
        <v>17</v>
      </c>
    </row>
    <row r="55" spans="1:18" ht="16" x14ac:dyDescent="0.2">
      <c r="A55">
        <v>704</v>
      </c>
      <c r="B55" t="s">
        <v>239</v>
      </c>
      <c r="C55" t="s">
        <v>240</v>
      </c>
      <c r="D55" t="s">
        <v>241</v>
      </c>
      <c r="E55" t="s">
        <v>242</v>
      </c>
      <c r="F55" t="s">
        <v>243</v>
      </c>
      <c r="H55" t="b">
        <f t="shared" si="0"/>
        <v>0</v>
      </c>
      <c r="I55">
        <v>3</v>
      </c>
      <c r="J55" t="s">
        <v>17</v>
      </c>
      <c r="K55" s="1" t="s">
        <v>23</v>
      </c>
      <c r="L55" s="7" t="s">
        <v>23</v>
      </c>
      <c r="M55" s="7" t="s">
        <v>17</v>
      </c>
      <c r="N55" s="7" t="s">
        <v>23</v>
      </c>
      <c r="O55" s="7" t="s">
        <v>17</v>
      </c>
      <c r="P55" s="7" t="s">
        <v>17</v>
      </c>
      <c r="Q55" s="7" t="s">
        <v>33</v>
      </c>
      <c r="R55" s="7" t="s">
        <v>17</v>
      </c>
    </row>
    <row r="56" spans="1:18" ht="16" x14ac:dyDescent="0.2">
      <c r="A56" s="10">
        <v>717</v>
      </c>
      <c r="B56" s="10" t="s">
        <v>244</v>
      </c>
      <c r="C56" s="10" t="s">
        <v>245</v>
      </c>
      <c r="D56" s="10" t="s">
        <v>246</v>
      </c>
      <c r="E56" s="10" t="s">
        <v>247</v>
      </c>
      <c r="F56" t="str">
        <f t="shared" si="1"/>
        <v>https://doi.org/10.1056/NEJMc1905537</v>
      </c>
      <c r="H56" t="b">
        <f t="shared" si="0"/>
        <v>0</v>
      </c>
      <c r="I56">
        <v>3</v>
      </c>
      <c r="J56" s="7" t="s">
        <v>17</v>
      </c>
      <c r="K56" s="8" t="s">
        <v>18</v>
      </c>
      <c r="L56" s="7" t="s">
        <v>23</v>
      </c>
      <c r="M56" s="7" t="s">
        <v>17</v>
      </c>
      <c r="N56" s="7" t="s">
        <v>23</v>
      </c>
      <c r="O56" s="7" t="s">
        <v>23</v>
      </c>
      <c r="P56" s="7" t="s">
        <v>17</v>
      </c>
      <c r="Q56" s="7" t="s">
        <v>33</v>
      </c>
      <c r="R56" s="7" t="s">
        <v>17</v>
      </c>
    </row>
    <row r="57" spans="1:18" ht="16" x14ac:dyDescent="0.2">
      <c r="A57">
        <v>754</v>
      </c>
      <c r="B57" t="s">
        <v>248</v>
      </c>
      <c r="C57" t="s">
        <v>127</v>
      </c>
      <c r="D57" t="s">
        <v>249</v>
      </c>
      <c r="F57" t="s">
        <v>250</v>
      </c>
      <c r="H57" t="b">
        <f t="shared" si="0"/>
        <v>0</v>
      </c>
      <c r="I57">
        <v>5</v>
      </c>
      <c r="J57" t="s">
        <v>17</v>
      </c>
      <c r="K57" s="1" t="s">
        <v>23</v>
      </c>
      <c r="L57" s="7" t="s">
        <v>23</v>
      </c>
      <c r="M57" s="7" t="s">
        <v>17</v>
      </c>
      <c r="N57" s="7" t="s">
        <v>17</v>
      </c>
      <c r="O57" s="7" t="s">
        <v>17</v>
      </c>
      <c r="P57" s="7" t="s">
        <v>17</v>
      </c>
      <c r="Q57" s="7" t="s">
        <v>24</v>
      </c>
      <c r="R57" s="7" t="s">
        <v>17</v>
      </c>
    </row>
    <row r="58" spans="1:18" ht="16" x14ac:dyDescent="0.2">
      <c r="A58" s="10">
        <v>761</v>
      </c>
      <c r="B58" s="10" t="s">
        <v>251</v>
      </c>
      <c r="C58" s="10" t="s">
        <v>252</v>
      </c>
      <c r="D58" s="10" t="s">
        <v>253</v>
      </c>
      <c r="E58" s="10" t="s">
        <v>254</v>
      </c>
      <c r="F58" t="str">
        <f t="shared" si="1"/>
        <v>https://doi.org/10.1016/j.jelectrocard.2020.03.001</v>
      </c>
      <c r="H58" t="b">
        <f t="shared" ref="H58:H76" si="2">IF(I58=1,TRUE,FALSE)</f>
        <v>0</v>
      </c>
      <c r="I58">
        <v>5</v>
      </c>
      <c r="J58" s="7" t="s">
        <v>17</v>
      </c>
      <c r="K58" s="8" t="s">
        <v>18</v>
      </c>
      <c r="L58" s="7" t="s">
        <v>23</v>
      </c>
      <c r="M58" s="7" t="s">
        <v>17</v>
      </c>
      <c r="N58" s="7" t="s">
        <v>17</v>
      </c>
      <c r="O58" s="7" t="s">
        <v>23</v>
      </c>
      <c r="P58" s="7" t="s">
        <v>17</v>
      </c>
      <c r="Q58" s="7" t="s">
        <v>33</v>
      </c>
      <c r="R58" s="7" t="s">
        <v>17</v>
      </c>
    </row>
    <row r="59" spans="1:18" ht="16" x14ac:dyDescent="0.2">
      <c r="A59" s="10">
        <v>782</v>
      </c>
      <c r="B59" t="s">
        <v>255</v>
      </c>
      <c r="C59" t="s">
        <v>256</v>
      </c>
      <c r="D59" t="s">
        <v>257</v>
      </c>
      <c r="E59" t="s">
        <v>258</v>
      </c>
      <c r="F59" t="s">
        <v>259</v>
      </c>
      <c r="G59">
        <v>12</v>
      </c>
      <c r="H59" t="b">
        <f t="shared" si="2"/>
        <v>0</v>
      </c>
      <c r="I59">
        <v>5</v>
      </c>
      <c r="J59" s="7" t="s">
        <v>17</v>
      </c>
      <c r="K59" s="8" t="s">
        <v>18</v>
      </c>
      <c r="L59" s="7" t="s">
        <v>23</v>
      </c>
      <c r="M59" s="7" t="s">
        <v>17</v>
      </c>
      <c r="N59" s="7" t="s">
        <v>34</v>
      </c>
      <c r="O59" s="7" t="s">
        <v>17</v>
      </c>
      <c r="P59" s="7" t="s">
        <v>17</v>
      </c>
      <c r="Q59" s="7" t="s">
        <v>33</v>
      </c>
      <c r="R59" s="7" t="s">
        <v>17</v>
      </c>
    </row>
    <row r="60" spans="1:18" ht="16" x14ac:dyDescent="0.2">
      <c r="A60" s="10">
        <v>783</v>
      </c>
      <c r="B60" s="10" t="s">
        <v>260</v>
      </c>
      <c r="C60" s="10" t="s">
        <v>261</v>
      </c>
      <c r="D60" s="10" t="s">
        <v>262</v>
      </c>
      <c r="E60" s="10" t="s">
        <v>263</v>
      </c>
      <c r="F60" t="str">
        <f t="shared" si="1"/>
        <v>https://doi.org/10.1016/j.forsciint.2016.12.001</v>
      </c>
      <c r="H60" t="b">
        <f t="shared" si="2"/>
        <v>0</v>
      </c>
      <c r="I60">
        <v>5</v>
      </c>
      <c r="J60" s="7" t="s">
        <v>17</v>
      </c>
      <c r="K60" s="8" t="s">
        <v>18</v>
      </c>
      <c r="L60" s="7" t="s">
        <v>23</v>
      </c>
      <c r="M60" s="7" t="s">
        <v>17</v>
      </c>
      <c r="N60" s="7" t="s">
        <v>17</v>
      </c>
      <c r="O60" s="7" t="s">
        <v>17</v>
      </c>
      <c r="P60" s="7" t="s">
        <v>17</v>
      </c>
      <c r="Q60" s="7" t="s">
        <v>17</v>
      </c>
      <c r="R60" s="7" t="s">
        <v>17</v>
      </c>
    </row>
    <row r="61" spans="1:18" ht="16" x14ac:dyDescent="0.2">
      <c r="A61" s="10">
        <v>787</v>
      </c>
      <c r="B61" s="10" t="s">
        <v>264</v>
      </c>
      <c r="C61" s="10" t="s">
        <v>265</v>
      </c>
      <c r="D61" s="10" t="s">
        <v>266</v>
      </c>
      <c r="E61" s="10" t="s">
        <v>267</v>
      </c>
      <c r="F61" t="str">
        <f t="shared" si="1"/>
        <v>https://doi.org/10.1016/j.jacc.2017.01.043</v>
      </c>
      <c r="G61" s="10">
        <v>12</v>
      </c>
      <c r="H61" t="b">
        <f t="shared" si="2"/>
        <v>0</v>
      </c>
      <c r="I61">
        <v>5</v>
      </c>
      <c r="J61" s="7" t="s">
        <v>17</v>
      </c>
      <c r="K61" s="8" t="s">
        <v>18</v>
      </c>
      <c r="L61" s="7" t="s">
        <v>24</v>
      </c>
      <c r="M61" s="7" t="s">
        <v>17</v>
      </c>
      <c r="N61" s="7" t="s">
        <v>17</v>
      </c>
      <c r="O61" s="7" t="s">
        <v>17</v>
      </c>
      <c r="P61" s="7" t="s">
        <v>17</v>
      </c>
      <c r="Q61" s="7" t="s">
        <v>17</v>
      </c>
      <c r="R61" s="7" t="s">
        <v>17</v>
      </c>
    </row>
    <row r="62" spans="1:18" ht="16" x14ac:dyDescent="0.2">
      <c r="A62" s="10">
        <v>794</v>
      </c>
      <c r="B62" s="10" t="s">
        <v>268</v>
      </c>
      <c r="C62" s="10" t="s">
        <v>269</v>
      </c>
      <c r="D62" s="10" t="s">
        <v>270</v>
      </c>
      <c r="E62" s="10" t="s">
        <v>271</v>
      </c>
      <c r="F62" t="str">
        <f t="shared" si="1"/>
        <v>https://doi.org/10.1007/s00246-014-1082-4</v>
      </c>
      <c r="G62" s="10">
        <v>12</v>
      </c>
      <c r="H62" t="b">
        <f t="shared" si="2"/>
        <v>0</v>
      </c>
      <c r="I62">
        <v>5</v>
      </c>
      <c r="J62" s="7" t="s">
        <v>17</v>
      </c>
      <c r="K62" s="8" t="s">
        <v>18</v>
      </c>
      <c r="L62" s="7" t="s">
        <v>17</v>
      </c>
      <c r="M62" s="7" t="s">
        <v>17</v>
      </c>
      <c r="N62" s="7" t="s">
        <v>17</v>
      </c>
      <c r="O62" s="7" t="s">
        <v>17</v>
      </c>
      <c r="P62" s="7" t="s">
        <v>17</v>
      </c>
      <c r="Q62" s="7" t="s">
        <v>33</v>
      </c>
      <c r="R62" s="7" t="s">
        <v>17</v>
      </c>
    </row>
    <row r="63" spans="1:18" ht="16" x14ac:dyDescent="0.2">
      <c r="A63" s="10">
        <v>841</v>
      </c>
      <c r="B63" s="10" t="s">
        <v>272</v>
      </c>
      <c r="C63" s="10" t="s">
        <v>273</v>
      </c>
      <c r="D63" s="10" t="s">
        <v>274</v>
      </c>
      <c r="E63" s="10" t="s">
        <v>275</v>
      </c>
      <c r="F63" t="str">
        <f t="shared" si="1"/>
        <v>https://doi.org/10.12809/hkmj176870</v>
      </c>
      <c r="H63" t="b">
        <f t="shared" si="2"/>
        <v>0</v>
      </c>
      <c r="I63">
        <v>5</v>
      </c>
      <c r="J63" s="7" t="s">
        <v>17</v>
      </c>
      <c r="K63" s="8" t="s">
        <v>18</v>
      </c>
      <c r="L63" s="7" t="s">
        <v>23</v>
      </c>
      <c r="M63" s="7" t="s">
        <v>17</v>
      </c>
      <c r="N63" s="7" t="s">
        <v>17</v>
      </c>
      <c r="O63" s="7" t="s">
        <v>17</v>
      </c>
      <c r="P63" s="7" t="s">
        <v>17</v>
      </c>
      <c r="Q63" s="7" t="s">
        <v>17</v>
      </c>
      <c r="R63" s="7" t="s">
        <v>17</v>
      </c>
    </row>
    <row r="64" spans="1:18" ht="16" x14ac:dyDescent="0.2">
      <c r="A64">
        <v>1037</v>
      </c>
      <c r="B64" t="s">
        <v>276</v>
      </c>
      <c r="C64" t="s">
        <v>277</v>
      </c>
      <c r="D64" s="10" t="s">
        <v>27</v>
      </c>
      <c r="E64" t="s">
        <v>278</v>
      </c>
      <c r="F64" s="10" t="s">
        <v>27</v>
      </c>
      <c r="G64" s="10"/>
      <c r="H64" t="b">
        <f t="shared" si="2"/>
        <v>1</v>
      </c>
      <c r="I64">
        <v>1</v>
      </c>
      <c r="J64" t="s">
        <v>17</v>
      </c>
      <c r="K64" s="1" t="s">
        <v>23</v>
      </c>
      <c r="L64" s="7" t="s">
        <v>23</v>
      </c>
      <c r="M64" s="7" t="s">
        <v>17</v>
      </c>
      <c r="N64" s="7" t="s">
        <v>23</v>
      </c>
      <c r="O64" s="7" t="s">
        <v>23</v>
      </c>
      <c r="P64" s="7" t="s">
        <v>24</v>
      </c>
      <c r="Q64" s="7" t="s">
        <v>23</v>
      </c>
      <c r="R64" s="7" t="s">
        <v>23</v>
      </c>
    </row>
    <row r="65" spans="1:18" ht="16" x14ac:dyDescent="0.2">
      <c r="A65" s="10">
        <v>1063</v>
      </c>
      <c r="B65" s="10" t="s">
        <v>279</v>
      </c>
      <c r="C65" s="10" t="s">
        <v>280</v>
      </c>
      <c r="D65" s="10" t="s">
        <v>281</v>
      </c>
      <c r="E65" s="10" t="s">
        <v>282</v>
      </c>
      <c r="F65" t="str">
        <f t="shared" si="1"/>
        <v>https://doi.org/10.1111/pedi.12746</v>
      </c>
      <c r="H65" t="b">
        <f t="shared" si="2"/>
        <v>1</v>
      </c>
      <c r="I65">
        <v>1</v>
      </c>
      <c r="J65" s="7" t="s">
        <v>17</v>
      </c>
      <c r="K65" s="8" t="s">
        <v>18</v>
      </c>
      <c r="L65" s="7" t="s">
        <v>23</v>
      </c>
      <c r="M65" s="7" t="s">
        <v>23</v>
      </c>
      <c r="N65" s="7" t="s">
        <v>23</v>
      </c>
      <c r="O65" s="7" t="s">
        <v>23</v>
      </c>
      <c r="P65" s="7" t="s">
        <v>24</v>
      </c>
      <c r="Q65" s="7" t="s">
        <v>23</v>
      </c>
      <c r="R65" s="7" t="s">
        <v>23</v>
      </c>
    </row>
    <row r="66" spans="1:18" ht="16" x14ac:dyDescent="0.2">
      <c r="A66" s="10">
        <v>1154</v>
      </c>
      <c r="B66" s="10" t="s">
        <v>283</v>
      </c>
      <c r="C66" s="10" t="s">
        <v>284</v>
      </c>
      <c r="D66" s="10" t="s">
        <v>285</v>
      </c>
      <c r="E66" s="10" t="s">
        <v>27</v>
      </c>
      <c r="F66" t="str">
        <f t="shared" si="1"/>
        <v>https://doi.org/10.1093/eurheartj/ehx493.P5860</v>
      </c>
      <c r="G66" s="10">
        <v>12</v>
      </c>
      <c r="H66" t="b">
        <f t="shared" si="2"/>
        <v>1</v>
      </c>
      <c r="I66">
        <v>1</v>
      </c>
      <c r="J66" s="7" t="s">
        <v>17</v>
      </c>
      <c r="K66" s="8" t="s">
        <v>23</v>
      </c>
      <c r="L66" s="7" t="s">
        <v>24</v>
      </c>
      <c r="M66" s="7" t="s">
        <v>17</v>
      </c>
      <c r="N66" s="7" t="s">
        <v>23</v>
      </c>
      <c r="O66" s="7" t="s">
        <v>24</v>
      </c>
      <c r="P66" s="7" t="s">
        <v>24</v>
      </c>
      <c r="Q66" s="7" t="s">
        <v>33</v>
      </c>
      <c r="R66" s="7" t="s">
        <v>23</v>
      </c>
    </row>
    <row r="67" spans="1:18" ht="16" x14ac:dyDescent="0.2">
      <c r="A67">
        <v>1168</v>
      </c>
      <c r="B67" t="s">
        <v>286</v>
      </c>
      <c r="C67" t="s">
        <v>287</v>
      </c>
      <c r="D67" t="s">
        <v>288</v>
      </c>
      <c r="E67" t="s">
        <v>289</v>
      </c>
      <c r="F67" t="s">
        <v>290</v>
      </c>
      <c r="H67" t="b">
        <f t="shared" si="2"/>
        <v>0</v>
      </c>
      <c r="I67">
        <v>5</v>
      </c>
      <c r="J67" s="7" t="s">
        <v>17</v>
      </c>
      <c r="K67" s="1" t="s">
        <v>23</v>
      </c>
      <c r="L67" s="7" t="s">
        <v>23</v>
      </c>
      <c r="M67" s="7" t="s">
        <v>17</v>
      </c>
      <c r="N67" s="7" t="s">
        <v>17</v>
      </c>
      <c r="O67" s="7" t="s">
        <v>23</v>
      </c>
      <c r="P67" s="7" t="s">
        <v>17</v>
      </c>
      <c r="Q67" s="7" t="s">
        <v>33</v>
      </c>
      <c r="R67" s="7" t="s">
        <v>17</v>
      </c>
    </row>
    <row r="68" spans="1:18" ht="16" x14ac:dyDescent="0.2">
      <c r="A68">
        <v>1200</v>
      </c>
      <c r="B68" t="s">
        <v>291</v>
      </c>
      <c r="C68" t="s">
        <v>292</v>
      </c>
      <c r="D68" t="s">
        <v>293</v>
      </c>
      <c r="E68" t="s">
        <v>294</v>
      </c>
      <c r="F68" t="s">
        <v>295</v>
      </c>
      <c r="H68" t="b">
        <f t="shared" si="2"/>
        <v>0</v>
      </c>
      <c r="I68">
        <v>5</v>
      </c>
      <c r="J68" s="7" t="s">
        <v>17</v>
      </c>
      <c r="K68" s="1" t="s">
        <v>23</v>
      </c>
      <c r="L68" s="7" t="s">
        <v>23</v>
      </c>
      <c r="M68" s="7" t="s">
        <v>17</v>
      </c>
      <c r="N68" s="7" t="s">
        <v>17</v>
      </c>
      <c r="O68" s="7" t="s">
        <v>17</v>
      </c>
      <c r="P68" s="7" t="s">
        <v>17</v>
      </c>
      <c r="Q68" s="7" t="s">
        <v>33</v>
      </c>
      <c r="R68" s="7" t="s">
        <v>17</v>
      </c>
    </row>
    <row r="69" spans="1:18" ht="16" x14ac:dyDescent="0.2">
      <c r="A69">
        <v>1231</v>
      </c>
      <c r="B69" t="s">
        <v>296</v>
      </c>
      <c r="C69" t="s">
        <v>156</v>
      </c>
      <c r="D69" t="s">
        <v>297</v>
      </c>
      <c r="E69" t="s">
        <v>298</v>
      </c>
      <c r="F69" t="s">
        <v>299</v>
      </c>
      <c r="H69" t="b">
        <f t="shared" si="2"/>
        <v>0</v>
      </c>
      <c r="I69">
        <v>3</v>
      </c>
      <c r="J69" s="7" t="s">
        <v>17</v>
      </c>
      <c r="K69" s="1" t="s">
        <v>18</v>
      </c>
      <c r="L69" s="7" t="s">
        <v>23</v>
      </c>
      <c r="M69" s="7" t="s">
        <v>17</v>
      </c>
      <c r="N69" s="7" t="s">
        <v>17</v>
      </c>
      <c r="O69" s="7" t="s">
        <v>17</v>
      </c>
      <c r="P69" s="7" t="s">
        <v>17</v>
      </c>
      <c r="Q69" s="7" t="s">
        <v>33</v>
      </c>
      <c r="R69" s="7" t="s">
        <v>17</v>
      </c>
    </row>
    <row r="70" spans="1:18" ht="16" x14ac:dyDescent="0.2">
      <c r="A70" s="10">
        <v>1244</v>
      </c>
      <c r="B70" s="10" t="s">
        <v>300</v>
      </c>
      <c r="C70" s="10" t="s">
        <v>301</v>
      </c>
      <c r="D70" s="10" t="s">
        <v>302</v>
      </c>
      <c r="E70" s="10" t="s">
        <v>303</v>
      </c>
      <c r="F70" t="str">
        <f t="shared" si="1"/>
        <v>https://doi.org/10.1016/j.humpath.2005.04.019</v>
      </c>
      <c r="H70" t="b">
        <f t="shared" si="2"/>
        <v>0</v>
      </c>
      <c r="I70">
        <v>5</v>
      </c>
      <c r="J70" s="7" t="s">
        <v>17</v>
      </c>
      <c r="K70" s="8" t="s">
        <v>18</v>
      </c>
      <c r="L70" s="7" t="s">
        <v>23</v>
      </c>
      <c r="M70" s="7" t="s">
        <v>17</v>
      </c>
      <c r="N70" s="7" t="s">
        <v>17</v>
      </c>
      <c r="O70" s="7" t="s">
        <v>17</v>
      </c>
      <c r="P70" s="7" t="s">
        <v>17</v>
      </c>
      <c r="Q70" s="7" t="s">
        <v>33</v>
      </c>
      <c r="R70" s="7" t="s">
        <v>17</v>
      </c>
    </row>
    <row r="71" spans="1:18" ht="16" x14ac:dyDescent="0.2">
      <c r="A71" s="10">
        <v>1261</v>
      </c>
      <c r="B71" s="10" t="s">
        <v>304</v>
      </c>
      <c r="C71" s="10" t="s">
        <v>305</v>
      </c>
      <c r="D71" s="10" t="s">
        <v>306</v>
      </c>
      <c r="E71" s="10" t="s">
        <v>27</v>
      </c>
      <c r="F71" t="str">
        <f t="shared" si="1"/>
        <v>https://doi.org/10.1093/eurheartj/ehx502.1218</v>
      </c>
      <c r="H71" t="b">
        <f t="shared" si="2"/>
        <v>1</v>
      </c>
      <c r="I71">
        <v>1</v>
      </c>
      <c r="J71" s="7" t="s">
        <v>17</v>
      </c>
      <c r="K71" s="8" t="s">
        <v>18</v>
      </c>
      <c r="L71" s="7" t="s">
        <v>23</v>
      </c>
      <c r="M71" s="7" t="s">
        <v>17</v>
      </c>
      <c r="N71" s="7" t="s">
        <v>23</v>
      </c>
      <c r="O71" s="7" t="s">
        <v>24</v>
      </c>
      <c r="P71" s="7" t="s">
        <v>24</v>
      </c>
      <c r="Q71" s="7" t="s">
        <v>23</v>
      </c>
      <c r="R71" s="7" t="s">
        <v>23</v>
      </c>
    </row>
    <row r="72" spans="1:18" ht="16" x14ac:dyDescent="0.2">
      <c r="A72" s="10">
        <v>1342</v>
      </c>
      <c r="B72" s="10" t="s">
        <v>307</v>
      </c>
      <c r="C72" s="10" t="s">
        <v>308</v>
      </c>
      <c r="D72" s="10" t="s">
        <v>309</v>
      </c>
      <c r="E72" s="10" t="s">
        <v>310</v>
      </c>
      <c r="F72" t="str">
        <f t="shared" si="1"/>
        <v>https://doi.org/10.1093/europace/euw362</v>
      </c>
      <c r="G72" s="10">
        <v>12</v>
      </c>
      <c r="H72" t="b">
        <f t="shared" si="2"/>
        <v>0</v>
      </c>
      <c r="I72">
        <v>5</v>
      </c>
      <c r="J72" s="7" t="s">
        <v>17</v>
      </c>
      <c r="K72" s="8" t="s">
        <v>18</v>
      </c>
      <c r="L72" s="7" t="s">
        <v>23</v>
      </c>
      <c r="M72" s="7" t="s">
        <v>17</v>
      </c>
      <c r="N72" s="7" t="s">
        <v>17</v>
      </c>
      <c r="O72" s="7" t="s">
        <v>23</v>
      </c>
      <c r="P72" s="7" t="s">
        <v>17</v>
      </c>
      <c r="Q72" s="7" t="s">
        <v>33</v>
      </c>
      <c r="R72" s="7" t="s">
        <v>17</v>
      </c>
    </row>
    <row r="73" spans="1:18" ht="16" x14ac:dyDescent="0.2">
      <c r="A73">
        <v>1345</v>
      </c>
      <c r="B73" t="s">
        <v>311</v>
      </c>
      <c r="C73" t="s">
        <v>312</v>
      </c>
      <c r="D73" t="s">
        <v>313</v>
      </c>
      <c r="E73" t="s">
        <v>314</v>
      </c>
      <c r="F73" t="s">
        <v>315</v>
      </c>
      <c r="H73" t="b">
        <f t="shared" si="2"/>
        <v>0</v>
      </c>
      <c r="I73">
        <v>5</v>
      </c>
      <c r="J73" s="7" t="s">
        <v>17</v>
      </c>
      <c r="K73" s="1" t="s">
        <v>23</v>
      </c>
      <c r="L73" t="s">
        <v>23</v>
      </c>
      <c r="M73" t="s">
        <v>17</v>
      </c>
      <c r="N73" t="s">
        <v>17</v>
      </c>
      <c r="O73" t="s">
        <v>17</v>
      </c>
      <c r="P73" t="s">
        <v>17</v>
      </c>
      <c r="Q73" t="s">
        <v>17</v>
      </c>
      <c r="R73" t="s">
        <v>17</v>
      </c>
    </row>
    <row r="74" spans="1:18" s="15" customFormat="1" ht="16" x14ac:dyDescent="0.2">
      <c r="A74" s="14">
        <v>16</v>
      </c>
      <c r="B74" s="14" t="s">
        <v>319</v>
      </c>
      <c r="C74" s="14" t="s">
        <v>318</v>
      </c>
      <c r="D74" s="14" t="s">
        <v>317</v>
      </c>
      <c r="E74" s="14" t="s">
        <v>316</v>
      </c>
      <c r="F74" s="15" t="str">
        <f>IF(D74&lt;&gt;"N/A",_xlfn.CONCAT("https://doi.org/",D74),"")</f>
        <v>https://doi.org/10.1016/j.hrthm.2014.07.020</v>
      </c>
      <c r="G74" s="14">
        <v>12</v>
      </c>
      <c r="H74" s="15" t="b">
        <f t="shared" si="2"/>
        <v>0</v>
      </c>
      <c r="I74" s="15">
        <v>5</v>
      </c>
      <c r="J74" s="16" t="s">
        <v>17</v>
      </c>
      <c r="K74" s="17" t="s">
        <v>17</v>
      </c>
      <c r="L74" s="16" t="s">
        <v>24</v>
      </c>
      <c r="M74" s="16" t="s">
        <v>17</v>
      </c>
      <c r="N74" s="16" t="s">
        <v>17</v>
      </c>
      <c r="O74" s="16" t="s">
        <v>17</v>
      </c>
      <c r="P74" s="16" t="s">
        <v>17</v>
      </c>
      <c r="Q74" s="16" t="s">
        <v>17</v>
      </c>
      <c r="R74" s="16" t="s">
        <v>17</v>
      </c>
    </row>
    <row r="75" spans="1:18" s="15" customFormat="1" ht="16" x14ac:dyDescent="0.2">
      <c r="A75" s="14">
        <v>1055</v>
      </c>
      <c r="B75" s="14" t="s">
        <v>322</v>
      </c>
      <c r="C75" s="14" t="s">
        <v>321</v>
      </c>
      <c r="D75" s="14" t="s">
        <v>320</v>
      </c>
      <c r="E75" s="14" t="s">
        <v>27</v>
      </c>
      <c r="F75" s="15" t="str">
        <f>IF(D75&lt;&gt;"N/A",_xlfn.CONCAT("https://doi.org/",D75),"")</f>
        <v>https://doi.org/10.1038/ejhg.2015.198</v>
      </c>
      <c r="G75" s="14">
        <v>12</v>
      </c>
      <c r="H75" s="15" t="b">
        <f t="shared" si="2"/>
        <v>0</v>
      </c>
      <c r="I75" s="15">
        <v>5</v>
      </c>
      <c r="J75" s="16" t="s">
        <v>17</v>
      </c>
      <c r="K75" s="17" t="s">
        <v>18</v>
      </c>
      <c r="L75" s="16" t="s">
        <v>23</v>
      </c>
      <c r="M75" s="16" t="s">
        <v>17</v>
      </c>
      <c r="N75" s="16" t="s">
        <v>17</v>
      </c>
      <c r="O75" s="16" t="s">
        <v>17</v>
      </c>
      <c r="P75" s="16" t="s">
        <v>17</v>
      </c>
      <c r="Q75" s="16" t="s">
        <v>17</v>
      </c>
      <c r="R75" s="16" t="s">
        <v>17</v>
      </c>
    </row>
    <row r="76" spans="1:18" ht="16" x14ac:dyDescent="0.2">
      <c r="A76" s="10">
        <v>1058</v>
      </c>
      <c r="B76" s="10" t="s">
        <v>326</v>
      </c>
      <c r="C76" s="10" t="s">
        <v>325</v>
      </c>
      <c r="D76" s="10" t="s">
        <v>324</v>
      </c>
      <c r="E76" s="10" t="s">
        <v>323</v>
      </c>
      <c r="F76" t="str">
        <f>IF(D76&lt;&gt;"N/A",_xlfn.CONCAT("https://doi.org/",D76),"")</f>
        <v>https://doi.org/10.1111/cge.12778</v>
      </c>
      <c r="H76" t="b">
        <f t="shared" si="2"/>
        <v>0</v>
      </c>
      <c r="I76">
        <v>5</v>
      </c>
      <c r="J76" s="7" t="s">
        <v>17</v>
      </c>
      <c r="K76" s="8" t="s">
        <v>18</v>
      </c>
      <c r="L76" s="7" t="s">
        <v>17</v>
      </c>
      <c r="M76" s="7" t="s">
        <v>17</v>
      </c>
      <c r="N76" s="7" t="s">
        <v>17</v>
      </c>
      <c r="O76" s="7" t="s">
        <v>17</v>
      </c>
      <c r="P76" s="7" t="s">
        <v>17</v>
      </c>
      <c r="Q76" s="7" t="s">
        <v>33</v>
      </c>
      <c r="R76" s="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Chang, Alexander W.</cp:lastModifiedBy>
  <cp:revision/>
  <dcterms:created xsi:type="dcterms:W3CDTF">2024-12-05T17:51:59Z</dcterms:created>
  <dcterms:modified xsi:type="dcterms:W3CDTF">2025-01-25T21:45:09Z</dcterms:modified>
  <cp:category/>
  <cp:contentStatus/>
</cp:coreProperties>
</file>