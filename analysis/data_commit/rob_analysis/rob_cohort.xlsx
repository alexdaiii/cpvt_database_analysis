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mc:AlternateContent xmlns:mc="http://schemas.openxmlformats.org/markup-compatibility/2006">
    <mc:Choice Requires="x15">
      <x15ac:absPath xmlns:x15ac="http://schemas.microsoft.com/office/spreadsheetml/2010/11/ac" url="/Users/ac4294/dev/2024/rob-llama/output/llama.v0.2.0/r1/"/>
    </mc:Choice>
  </mc:AlternateContent>
  <xr:revisionPtr revIDLastSave="311" documentId="13_ncr:1_{4FB30B54-182E-C748-89B3-F20F1EB03042}" xr6:coauthVersionLast="47" xr6:coauthVersionMax="47" xr10:uidLastSave="{6474D2C1-CC3F-494C-B66D-84C861D6A6DC}"/>
  <bookViews>
    <workbookView xWindow="0" yWindow="500" windowWidth="51200" windowHeight="26600" xr2:uid="{00000000-000D-0000-FFFF-FFFF00000000}"/>
  </bookViews>
  <sheets>
    <sheet name="Sheet1" sheetId="1" r:id="rId1"/>
  </sheets>
  <definedNames>
    <definedName name="_xlnm._FilterDatabase" localSheetId="0" hidden="1">Sheet1!$A$1:$V$1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2" i="1"/>
</calcChain>
</file>

<file path=xl/sharedStrings.xml><?xml version="1.0" encoding="utf-8"?>
<sst xmlns="http://schemas.openxmlformats.org/spreadsheetml/2006/main" count="647" uniqueCount="190">
  <si>
    <t>publication_id</t>
  </si>
  <si>
    <t>title</t>
  </si>
  <si>
    <t>first_author</t>
  </si>
  <si>
    <t>doi</t>
  </si>
  <si>
    <t>resource_uri</t>
  </si>
  <si>
    <t>doi_hyperlink</t>
  </si>
  <si>
    <t>is_abstract</t>
  </si>
  <si>
    <t>publication_class</t>
  </si>
  <si>
    <t>1. Was the research question or objective in this paper clearly stated?</t>
  </si>
  <si>
    <t>2. Was the study population clearly specified and defined?</t>
  </si>
  <si>
    <t>3. Was the participation rate of eligible persons at least 50%?</t>
  </si>
  <si>
    <t>4. Were all the subjects selected or recruited from the same or similar populations (including the same time period)? Were inclusion and exclusion criteria for being in the study prespecified and applied uniformly to all participants?</t>
  </si>
  <si>
    <t>5. Was a sample size justification, power description, or variance and effect estimates provided?</t>
  </si>
  <si>
    <t>6. For the analyses in this paper, were the exposure(s) of interest measured prior to the outcome(s) being measured?</t>
  </si>
  <si>
    <t>7. Was the timeframe sufficient so that one could reasonably expect to see an association between exposure and outcome if it existed?</t>
  </si>
  <si>
    <t>8. For exposures that can vary in amount or level, did the study examine different levels of the exposure as related to the outcome (e.g., categories of exposure, or exposure measured as continuous variable)?</t>
  </si>
  <si>
    <t>9. Were the exposure measures (independent variables) clearly defined, valid, reliable, and implemented consistently across all study participants?</t>
  </si>
  <si>
    <t>10. Was the exposure(s) assessed more than once over time?</t>
  </si>
  <si>
    <t>11. Were the outcome measures (dependent variables) clearly defined, valid, reliable, and implemented consistently across all study participants?</t>
  </si>
  <si>
    <t>12. Were the outcome assessors blinded to the exposure status of participants?</t>
  </si>
  <si>
    <t>13. Was loss to follow-up after baseline 20% or less?</t>
  </si>
  <si>
    <t>14. Were key potential confounding variables measured and adjusted statistically for their impact on the relationship between exposure(s) and outcome(s)?</t>
  </si>
  <si>
    <t>Familial Evaluation in Catecholaminergic Polymorphic Ventricular Tachycardia: disease penetrance and expression in cardiac ryanodine receptor mutation-carrying relatives</t>
  </si>
  <si>
    <t>Van Der Werf C</t>
  </si>
  <si>
    <t>10.1161/CIRCEP.112.970517</t>
  </si>
  <si>
    <t>https://pubmed.ncbi.nlm.nih.gov/22787013</t>
  </si>
  <si>
    <t>https://doi.org/10.1161/CIRCEP.112.970517</t>
  </si>
  <si>
    <t>YES</t>
  </si>
  <si>
    <t>NO</t>
  </si>
  <si>
    <t>NA</t>
  </si>
  <si>
    <t>Flecainide therapy reduces exercise-induced ventricular arrhythmias in patients with catecholaminergic polymorphic ventricular tachycardia</t>
  </si>
  <si>
    <t>van der Werf, C</t>
  </si>
  <si>
    <t>10.1016/j.jacc.2011.01.026</t>
  </si>
  <si>
    <t>https://pubmed.ncbi.nlm.nih.gov/21616285</t>
  </si>
  <si>
    <t>https://doi.org/10.1016/j.jacc.2011.01.026</t>
  </si>
  <si>
    <t>CD</t>
  </si>
  <si>
    <t>NM</t>
  </si>
  <si>
    <t>Structural abnormalities on cardiac magnetic resonance imaging in patients with catecholaminergic polymorphic ventricular tachycardia</t>
  </si>
  <si>
    <t>Gerber, D</t>
  </si>
  <si>
    <t>10.1016/j.jacep.2020.03.006</t>
  </si>
  <si>
    <t>https://pubmed.ncbi.nlm.nih.gov/32553227</t>
  </si>
  <si>
    <t>https://doi.org/10.1016/j.jacep.2020.03.006</t>
  </si>
  <si>
    <t>Bradycardia is a specific phenotype of catecholaminergic polymorphic ventricular tachycardia induced by RYR2 mutations</t>
  </si>
  <si>
    <t>Miyata, K.</t>
  </si>
  <si>
    <t>10.2169/internalmedicine.9843-17</t>
  </si>
  <si>
    <t>https://pubmed.ncbi.nlm.nih.gov/29434162</t>
  </si>
  <si>
    <t>https://doi.org/10.2169/internalmedicine.9843-17</t>
  </si>
  <si>
    <t>Linking the heart and the brain: Neurodevelopmental disorders in patients with catecholaminergic polymorphic ventricular tachycardia</t>
  </si>
  <si>
    <t>Lieve, KVV</t>
  </si>
  <si>
    <t>10.1016/j.hrthm.2018.08.025</t>
  </si>
  <si>
    <t>https://pubmed.ncbi.nlm.nih.gov/30170228</t>
  </si>
  <si>
    <t>https://doi.org/10.1016/j.hrthm.2018.08.025</t>
  </si>
  <si>
    <t>Competitive sports participation in patients with catecholaminergic polymorphic ventricular tachycardia: a single center's early experience</t>
  </si>
  <si>
    <t>Ostby, S.</t>
  </si>
  <si>
    <t>10.1016/j.jacep.2016.01.020</t>
  </si>
  <si>
    <t>https://pubmed.ncbi.nlm.nih.gov/29766881</t>
  </si>
  <si>
    <t>https://doi.org/10.1016/j.jacep.2016.01.020</t>
  </si>
  <si>
    <t>Screening for Ryanodine Receptor Type 2 Mutations in Families With Effort-Induced Polymorphic Ventricular Arrhythmias and Sudden Death: Early Diagnosis of Asymptomatic Carriers</t>
  </si>
  <si>
    <t>Bauce, Barbara</t>
  </si>
  <si>
    <t>10.1016/s0735-1097(02)01946-0</t>
  </si>
  <si>
    <t>https://pubmed.ncbi.nlm.nih.gov/12106942</t>
  </si>
  <si>
    <t>https://doi.org/10.1016/s0735-1097(02)01946-0</t>
  </si>
  <si>
    <t>Catecholaminergic Polymorphic Ventricular Tachycardia (CPVT) Associated With Ryanodine Receptor (RyR2) Gene Mutations - Long-Term Prognosis After Initiation of Medical Treatment.</t>
  </si>
  <si>
    <t>Kawata H</t>
  </si>
  <si>
    <t>10.1253/circj.CJ-16-0250</t>
  </si>
  <si>
    <t>https://pubmed.ncbi.nlm.nih.gov/27452199</t>
  </si>
  <si>
    <t>https://doi.org/10.1253/circj.CJ-16-0250</t>
  </si>
  <si>
    <t>Different responses to exercise between Andersen-Tawil syndrome and catecholaminergic polymorphic ventricular tachycardia</t>
  </si>
  <si>
    <t>Inoue, Y.Y.</t>
  </si>
  <si>
    <t>10.1093/europace/eux351</t>
  </si>
  <si>
    <t>https://pubmed.ncbi.nlm.nih.gov/29309601</t>
  </si>
  <si>
    <t>https://doi.org/10.1093/europace/eux351</t>
  </si>
  <si>
    <t>Clinical and molecular characterization of patients with catecholaminergic polymorphic ventricular tachycardia.</t>
  </si>
  <si>
    <t>Priori, SG</t>
  </si>
  <si>
    <t>10.1161/01.cir.0000020013.73106.d8</t>
  </si>
  <si>
    <t>https://pubmed.ncbi.nlm.nih.gov/12093772</t>
  </si>
  <si>
    <t>https://doi.org/10.1161/01.cir.0000020013.73106.d8</t>
  </si>
  <si>
    <t>Catecholaminergic polymorphic ventricular tachycardia: RYR2 mutations, bradycardia, and follow up of the patients</t>
  </si>
  <si>
    <t>Postma, A</t>
  </si>
  <si>
    <t>10.1136/jmg.2004.028993</t>
  </si>
  <si>
    <t>https://pubmed.ncbi.nlm.nih.gov/16272262</t>
  </si>
  <si>
    <t>https://doi.org/10.1136/jmg.2004.028993</t>
  </si>
  <si>
    <t>Antiarrhythmic effects of dantrolene in patients with catecholaminergic polymorphic ventricular tachycardia and replication of the responses using iPSC models</t>
  </si>
  <si>
    <t>Penttinen, K.</t>
  </si>
  <si>
    <t>10.1371/journal.pone.0125366</t>
  </si>
  <si>
    <t>https://pubmed.ncbi.nlm.nih.gov/25955245</t>
  </si>
  <si>
    <t>https://doi.org/10.1371/journal.pone.0125366</t>
  </si>
  <si>
    <t>Calcium release channel RyR2 regulates insulin release and glucose homeostasis</t>
  </si>
  <si>
    <t>Santulli, G.</t>
  </si>
  <si>
    <t>10.1172/JCI79273</t>
  </si>
  <si>
    <t>https://pubmed.ncbi.nlm.nih.gov/25844899</t>
  </si>
  <si>
    <t>https://doi.org/10.1172/JCI79273</t>
  </si>
  <si>
    <t>Nationwide experience of catecholaminergic polymorphic ventricular tachycardia caused by RyR2 mutations</t>
  </si>
  <si>
    <t>Broendberg, AK</t>
  </si>
  <si>
    <t>10.1136/heartjnl-2016-310509</t>
  </si>
  <si>
    <t>https://pubmed.ncbi.nlm.nih.gov/28237968</t>
  </si>
  <si>
    <t>https://doi.org/10.1136/heartjnl-2016-310509</t>
  </si>
  <si>
    <t>Genetic testing in the evaluation of unexplained cardiac arrest: from the CASPER (Cardiac Arrest Survivors with Preserved Ejection Fraction Registry)</t>
  </si>
  <si>
    <t>Mellor, G.</t>
  </si>
  <si>
    <t>10.1161/CIRCGENETICS.116.001686</t>
  </si>
  <si>
    <t>https://pubmed.ncbi.nlm.nih.gov/28600387</t>
  </si>
  <si>
    <t>https://doi.org/10.1161/CIRCGENETICS.116.001686</t>
  </si>
  <si>
    <t>Arrhythmia characterization and long-term outcomes in catecholaminergic polymorphic ventricular tachycardia.</t>
  </si>
  <si>
    <t>Sy, RW</t>
  </si>
  <si>
    <t>10.1016/j.hrthm.2011.02.007</t>
  </si>
  <si>
    <t>https://pubmed.ncbi.nlm.nih.gov/21315846</t>
  </si>
  <si>
    <t>https://doi.org/10.1016/j.hrthm.2011.01.048</t>
  </si>
  <si>
    <t>Diagnostic Approach to Unexplained Cardiac Arrest (from the FIVI-Gen Study)</t>
  </si>
  <si>
    <t>Jiménez-Jáimez, J</t>
  </si>
  <si>
    <t>10.1016/j.amjcard.2015.06.030</t>
  </si>
  <si>
    <t>https://pubmed.ncbi.nlm.nih.gov/26189708</t>
  </si>
  <si>
    <t>https://doi.org/10.1016/j.amjcard.2015.06.030</t>
  </si>
  <si>
    <t>Cardiac evaluation of pediatric patients in sudden arrhythmic death syndrome: a 2-center experience</t>
  </si>
  <si>
    <t>Wong, L.</t>
  </si>
  <si>
    <t>10.1161/CIRCEP.114.001818</t>
  </si>
  <si>
    <t>https://pubmed.ncbi.nlm.nih.gov/25194972</t>
  </si>
  <si>
    <t>https://doi.org/10.1161/CIRCEP.114.001818</t>
  </si>
  <si>
    <t>Long-term follow-up of idiopathic ventricular fibrillation in a pediatric population: clinical characteristics, management, and complications</t>
  </si>
  <si>
    <t>Frontera, A</t>
  </si>
  <si>
    <t>10.1161/JAHA.118.011172</t>
  </si>
  <si>
    <t>https://pubmed.ncbi.nlm.nih.gov/31057083</t>
  </si>
  <si>
    <t>https://doi.org/10.1161/JAHA.118.011172</t>
  </si>
  <si>
    <t>Sudden unexplained death: heritability and diagnostic yield of cardiological and genetic examination in surviving relatives</t>
  </si>
  <si>
    <t>Tan, HL</t>
  </si>
  <si>
    <t>10.1161/circulationaha.104.522581</t>
  </si>
  <si>
    <t>https://pubmed.ncbi.nlm.nih.gov/15998675</t>
  </si>
  <si>
    <t>https://doi.org/10.1161/circulationaha.104.522581</t>
  </si>
  <si>
    <t>Effects of catheter ablation targeting the trigger beats in inherited catecholaminergic polymorphic ventricular tachycardia</t>
  </si>
  <si>
    <t>Kaneshiro, T.</t>
  </si>
  <si>
    <t>10.1016/j.jacep.2017.04.017</t>
  </si>
  <si>
    <t>https://pubmed.ncbi.nlm.nih.gov/29759714</t>
  </si>
  <si>
    <t>https://doi.org/10.1016/j.jacep.2017.04.017</t>
  </si>
  <si>
    <t>Flecainide reduces ventricular arrhythmias via a mechanism that differs from that of beta-blockers in catecholaminergic polymorphic ventricular tachycarda</t>
  </si>
  <si>
    <t>Dochi, K.</t>
  </si>
  <si>
    <t>10.1016/j.joa.2013.01.011</t>
  </si>
  <si>
    <t>https://doi.org/10.1016/j.joa.2013.01.011</t>
  </si>
  <si>
    <t>Prevalence of Arrhythmia-Associated Gene Mutations and Risk of Sudden Cardiac Death in the Finnish Population</t>
  </si>
  <si>
    <t>Lahtinen, AM</t>
  </si>
  <si>
    <t>10.3109/07853890.2013.783995</t>
  </si>
  <si>
    <t>https://pubmed.ncbi.nlm.nih.gov/23651034</t>
  </si>
  <si>
    <t>https://doi.org/10.3109/07853890.2013.783995</t>
  </si>
  <si>
    <t>Effects of individualized exercise training in patients with catecholaminergic polymorphic ventricular tachycardia type 1</t>
  </si>
  <si>
    <t>Manotheepan, R.</t>
  </si>
  <si>
    <t>10.1016/j.amjcard.2014.03.012</t>
  </si>
  <si>
    <t>https://pubmed.ncbi.nlm.nih.gov/24837260</t>
  </si>
  <si>
    <t>https://doi.org/10.1016/j.amjcard.2014.03.012</t>
  </si>
  <si>
    <t>Arrhythmia initiation in catecholaminergic polymorphic ventricular tachycardia type 1 depends on both heart rate and sympathetic stimulation</t>
  </si>
  <si>
    <t>Danielsen, T.</t>
  </si>
  <si>
    <t>10.1371/journal.pone.0207100</t>
  </si>
  <si>
    <t>https://pubmed.ncbi.nlm.nih.gov/30399185</t>
  </si>
  <si>
    <t>https://doi.org/10.1371/journal.pone.0207100</t>
  </si>
  <si>
    <t>Calcium channel antagonism reduces exercise-induced ventricular arrhythmias in catecholaminergic polymorphic ventricular tachycardia patients with RyR2 mutations</t>
  </si>
  <si>
    <t>Swan, H.</t>
  </si>
  <si>
    <t>10.1046/j.1540-8167.2005.40516.x</t>
  </si>
  <si>
    <t>https://pubmed.ncbi.nlm.nih.gov/15720454</t>
  </si>
  <si>
    <t>https://doi.org/10.1046/j.1540-8167.2005.40516.x</t>
  </si>
  <si>
    <t>The role of stress test for predicting genetic mutations and future cardiac events in asymptomatic relatives of catecholaminergic polymorphic ventricular tachycardia probands.</t>
  </si>
  <si>
    <t>Hayashi M</t>
  </si>
  <si>
    <t>10.1093/europace/eus031</t>
  </si>
  <si>
    <t>https://pubmed.ncbi.nlm.nih.gov/22383456</t>
  </si>
  <si>
    <t>https://doi.org/10.1093/europace/eus031</t>
  </si>
  <si>
    <t>Expanding Spectrum of Human RYR2-Related Disease</t>
  </si>
  <si>
    <t>Bhuiyan, ZA</t>
  </si>
  <si>
    <t>10.1161/CIRCULATIONAHA.107.711606</t>
  </si>
  <si>
    <t>https://pubmed.ncbi.nlm.nih.gov/17875969</t>
  </si>
  <si>
    <t>https://doi.org/10.1161/CIRCULATIONAHA.107.711606</t>
  </si>
  <si>
    <t>Long-Term Follow-Up of Patients with Catecholaminergic Polymorphic Ventricular Arrythmia</t>
  </si>
  <si>
    <t>Veith, M</t>
  </si>
  <si>
    <t>10.3390/jcm9040903</t>
  </si>
  <si>
    <t>https://pubmed.ncbi.nlm.nih.gov/32218223</t>
  </si>
  <si>
    <t>https://doi.org/10.3390/jcm9040903</t>
  </si>
  <si>
    <t>Life-threatening events in patients with non-compaction cardiomyopathy and mutations in ion channel genes</t>
  </si>
  <si>
    <t>Rineiska, N</t>
  </si>
  <si>
    <t>10.1093/europace/euaa162.299</t>
  </si>
  <si>
    <t>https://doi.org/10.1093/europace/euaa162.299</t>
  </si>
  <si>
    <t>Occult structural disease in patients with catecholaminergic polymorphic ventricular tachycardia</t>
  </si>
  <si>
    <t>Gerber, DA</t>
  </si>
  <si>
    <t>10.1161/circ.134.suppl_1.20771</t>
  </si>
  <si>
    <t>https://www.ahajournals.org/doi/10.1161/circ.134.suppl_1.20771</t>
  </si>
  <si>
    <t>https://doi.org/10.1161/circ.134.suppl_1.20771</t>
  </si>
  <si>
    <t>The Complexity of Pediatric Multifocal Atrial Tachycardia and Its Prognostic Factors</t>
  </si>
  <si>
    <t>Baek, SM</t>
  </si>
  <si>
    <t>10.4070/kcj.2017.0179</t>
  </si>
  <si>
    <t>https://pubmed.ncbi.nlm.nih.gov/29441747</t>
  </si>
  <si>
    <t>https://doi.org/10.4070/kcj.2017.0179</t>
  </si>
  <si>
    <t>Clinical and molecular characterization of a cardiac ryanodine receptor founder mutation causing catecholaminergic polymorphic ventricular tachycardia.</t>
  </si>
  <si>
    <t>Wangüemert F</t>
  </si>
  <si>
    <t>10.1016/j.hrthm.2015.03.033</t>
  </si>
  <si>
    <t>https://pubmed.ncbi.nlm.nih.gov/25814417</t>
  </si>
  <si>
    <t>https://doi.org/10.1016/j.hrthm.2015.03.033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</si>
</sst>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amily val="2"/>
    </font>
    <font>
      <sz val="11"/>
      <name val="Calibri"/>
      <family val="2"/>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center"/>
    </xf>
    <xf numFmtId="0" fontId="1"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applyAlignment="1">
      <alignment horizontal="center"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4"/>
  <sheetViews>
    <sheetView tabSelected="1" workbookViewId="0">
      <selection activeCell="J29" sqref="J29"/>
    </sheetView>
  </sheetViews>
  <sheetFormatPr defaultColWidth="8.85546875" defaultRowHeight="15"/>
  <cols>
    <col min="1" max="1" width="12.28515625" bestFit="1" customWidth="1"/>
    <col min="9" max="22" width="21.7109375" customWidth="1"/>
  </cols>
  <sheetData>
    <row r="1" spans="1:22" ht="167.25">
      <c r="A1" s="2" t="s">
        <v>0</v>
      </c>
      <c r="B1" s="2" t="s">
        <v>1</v>
      </c>
      <c r="C1" s="2" t="s">
        <v>2</v>
      </c>
      <c r="D1" s="2" t="s">
        <v>3</v>
      </c>
      <c r="E1" s="2" t="s">
        <v>4</v>
      </c>
      <c r="F1" s="3" t="s">
        <v>5</v>
      </c>
      <c r="G1" s="3" t="s">
        <v>6</v>
      </c>
      <c r="H1" s="3"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spans="1:22">
      <c r="A2">
        <v>1</v>
      </c>
      <c r="B2" t="s">
        <v>22</v>
      </c>
      <c r="C2" t="s">
        <v>23</v>
      </c>
      <c r="D2" t="s">
        <v>24</v>
      </c>
      <c r="E2" t="s">
        <v>25</v>
      </c>
      <c r="F2" t="s">
        <v>26</v>
      </c>
      <c r="G2" t="b">
        <f>IF(H2=1,TRUE,FALSE)</f>
        <v>0</v>
      </c>
      <c r="H2">
        <v>5</v>
      </c>
      <c r="I2" t="s">
        <v>27</v>
      </c>
      <c r="J2" t="s">
        <v>27</v>
      </c>
      <c r="K2" t="s">
        <v>27</v>
      </c>
      <c r="L2" t="s">
        <v>28</v>
      </c>
      <c r="M2" t="s">
        <v>28</v>
      </c>
      <c r="N2" t="s">
        <v>27</v>
      </c>
      <c r="O2" t="s">
        <v>27</v>
      </c>
      <c r="P2" t="s">
        <v>29</v>
      </c>
      <c r="Q2" t="s">
        <v>27</v>
      </c>
      <c r="R2" t="s">
        <v>29</v>
      </c>
      <c r="S2" t="s">
        <v>27</v>
      </c>
      <c r="T2" t="s">
        <v>28</v>
      </c>
      <c r="U2" t="s">
        <v>27</v>
      </c>
      <c r="V2" t="s">
        <v>28</v>
      </c>
    </row>
    <row r="3" spans="1:22">
      <c r="A3">
        <v>2</v>
      </c>
      <c r="B3" t="s">
        <v>30</v>
      </c>
      <c r="C3" t="s">
        <v>31</v>
      </c>
      <c r="D3" t="s">
        <v>32</v>
      </c>
      <c r="E3" t="s">
        <v>33</v>
      </c>
      <c r="F3" t="s">
        <v>34</v>
      </c>
      <c r="G3" t="b">
        <f t="shared" ref="G3:G34" si="0">IF(H3=1,TRUE,FALSE)</f>
        <v>0</v>
      </c>
      <c r="H3">
        <v>5</v>
      </c>
      <c r="I3" t="s">
        <v>27</v>
      </c>
      <c r="J3" t="s">
        <v>27</v>
      </c>
      <c r="K3" t="s">
        <v>35</v>
      </c>
      <c r="L3" t="s">
        <v>28</v>
      </c>
      <c r="M3" t="s">
        <v>28</v>
      </c>
      <c r="N3" t="s">
        <v>27</v>
      </c>
      <c r="O3" t="s">
        <v>27</v>
      </c>
      <c r="P3" t="s">
        <v>28</v>
      </c>
      <c r="Q3" t="s">
        <v>27</v>
      </c>
      <c r="R3" t="s">
        <v>29</v>
      </c>
      <c r="S3" t="s">
        <v>27</v>
      </c>
      <c r="T3" t="s">
        <v>28</v>
      </c>
      <c r="U3" t="s">
        <v>27</v>
      </c>
      <c r="V3" t="s">
        <v>36</v>
      </c>
    </row>
    <row r="4" spans="1:22">
      <c r="A4">
        <v>3</v>
      </c>
      <c r="B4" t="s">
        <v>37</v>
      </c>
      <c r="C4" t="s">
        <v>38</v>
      </c>
      <c r="D4" t="s">
        <v>39</v>
      </c>
      <c r="E4" t="s">
        <v>40</v>
      </c>
      <c r="F4" t="s">
        <v>41</v>
      </c>
      <c r="G4" t="b">
        <f t="shared" si="0"/>
        <v>0</v>
      </c>
      <c r="H4">
        <v>3</v>
      </c>
      <c r="I4" t="s">
        <v>27</v>
      </c>
      <c r="J4" t="s">
        <v>27</v>
      </c>
      <c r="K4" t="s">
        <v>35</v>
      </c>
      <c r="L4" t="s">
        <v>27</v>
      </c>
      <c r="M4" t="s">
        <v>28</v>
      </c>
      <c r="N4" t="s">
        <v>27</v>
      </c>
      <c r="O4" t="s">
        <v>27</v>
      </c>
      <c r="P4" t="s">
        <v>29</v>
      </c>
      <c r="Q4" t="s">
        <v>28</v>
      </c>
      <c r="R4" t="s">
        <v>29</v>
      </c>
      <c r="S4" t="s">
        <v>28</v>
      </c>
      <c r="T4" t="s">
        <v>28</v>
      </c>
      <c r="U4" t="s">
        <v>27</v>
      </c>
      <c r="V4" t="s">
        <v>28</v>
      </c>
    </row>
    <row r="5" spans="1:22">
      <c r="A5">
        <v>6</v>
      </c>
      <c r="B5" t="s">
        <v>42</v>
      </c>
      <c r="C5" t="s">
        <v>43</v>
      </c>
      <c r="D5" t="s">
        <v>44</v>
      </c>
      <c r="E5" t="s">
        <v>45</v>
      </c>
      <c r="F5" s="5" t="s">
        <v>46</v>
      </c>
      <c r="G5" t="b">
        <f t="shared" si="0"/>
        <v>0</v>
      </c>
      <c r="H5">
        <v>5</v>
      </c>
      <c r="I5" s="1" t="s">
        <v>27</v>
      </c>
      <c r="J5" s="1" t="s">
        <v>27</v>
      </c>
      <c r="K5" s="1" t="s">
        <v>35</v>
      </c>
      <c r="L5" s="1" t="s">
        <v>27</v>
      </c>
      <c r="M5" t="s">
        <v>28</v>
      </c>
      <c r="N5" t="s">
        <v>27</v>
      </c>
      <c r="O5" s="1" t="s">
        <v>27</v>
      </c>
      <c r="P5" t="s">
        <v>29</v>
      </c>
      <c r="Q5" s="1" t="s">
        <v>27</v>
      </c>
      <c r="R5" t="s">
        <v>29</v>
      </c>
      <c r="S5" s="1" t="s">
        <v>27</v>
      </c>
      <c r="T5" t="s">
        <v>28</v>
      </c>
      <c r="U5" t="s">
        <v>27</v>
      </c>
      <c r="V5" t="s">
        <v>28</v>
      </c>
    </row>
    <row r="6" spans="1:22">
      <c r="A6">
        <v>11</v>
      </c>
      <c r="B6" t="s">
        <v>47</v>
      </c>
      <c r="C6" t="s">
        <v>48</v>
      </c>
      <c r="D6" t="s">
        <v>49</v>
      </c>
      <c r="E6" t="s">
        <v>50</v>
      </c>
      <c r="F6" t="s">
        <v>51</v>
      </c>
      <c r="G6" t="b">
        <f t="shared" si="0"/>
        <v>0</v>
      </c>
      <c r="H6">
        <v>5</v>
      </c>
      <c r="I6" t="s">
        <v>27</v>
      </c>
      <c r="J6" t="s">
        <v>27</v>
      </c>
      <c r="K6" t="s">
        <v>27</v>
      </c>
      <c r="L6" t="s">
        <v>27</v>
      </c>
      <c r="M6" t="s">
        <v>28</v>
      </c>
      <c r="N6" t="s">
        <v>27</v>
      </c>
      <c r="O6" t="s">
        <v>27</v>
      </c>
      <c r="P6" t="s">
        <v>29</v>
      </c>
      <c r="Q6" t="s">
        <v>27</v>
      </c>
      <c r="R6" t="s">
        <v>29</v>
      </c>
      <c r="S6" t="s">
        <v>27</v>
      </c>
      <c r="T6" t="s">
        <v>28</v>
      </c>
      <c r="U6" t="s">
        <v>27</v>
      </c>
      <c r="V6" t="s">
        <v>27</v>
      </c>
    </row>
    <row r="7" spans="1:22">
      <c r="A7">
        <v>12</v>
      </c>
      <c r="B7" t="s">
        <v>52</v>
      </c>
      <c r="C7" t="s">
        <v>53</v>
      </c>
      <c r="D7" t="s">
        <v>54</v>
      </c>
      <c r="E7" t="s">
        <v>55</v>
      </c>
      <c r="F7" t="s">
        <v>56</v>
      </c>
      <c r="G7" t="b">
        <f t="shared" si="0"/>
        <v>0</v>
      </c>
      <c r="H7">
        <v>5</v>
      </c>
      <c r="I7" t="s">
        <v>27</v>
      </c>
      <c r="J7" t="s">
        <v>27</v>
      </c>
      <c r="K7" t="s">
        <v>27</v>
      </c>
      <c r="L7" t="s">
        <v>27</v>
      </c>
      <c r="M7" t="s">
        <v>28</v>
      </c>
      <c r="N7" t="s">
        <v>27</v>
      </c>
      <c r="O7" t="s">
        <v>27</v>
      </c>
      <c r="P7" t="s">
        <v>29</v>
      </c>
      <c r="Q7" t="s">
        <v>27</v>
      </c>
      <c r="R7" t="s">
        <v>29</v>
      </c>
      <c r="S7" t="s">
        <v>27</v>
      </c>
      <c r="T7" t="s">
        <v>28</v>
      </c>
      <c r="U7" t="s">
        <v>27</v>
      </c>
      <c r="V7" t="s">
        <v>28</v>
      </c>
    </row>
    <row r="8" spans="1:22">
      <c r="A8">
        <v>20</v>
      </c>
      <c r="B8" t="s">
        <v>57</v>
      </c>
      <c r="C8" t="s">
        <v>58</v>
      </c>
      <c r="D8" t="s">
        <v>59</v>
      </c>
      <c r="E8" t="s">
        <v>60</v>
      </c>
      <c r="F8" t="s">
        <v>61</v>
      </c>
      <c r="G8" t="b">
        <f t="shared" si="0"/>
        <v>0</v>
      </c>
      <c r="H8">
        <v>5</v>
      </c>
      <c r="I8" t="s">
        <v>27</v>
      </c>
      <c r="J8" t="s">
        <v>27</v>
      </c>
      <c r="K8" t="s">
        <v>35</v>
      </c>
      <c r="L8" t="s">
        <v>27</v>
      </c>
      <c r="M8" t="s">
        <v>28</v>
      </c>
      <c r="N8" t="s">
        <v>27</v>
      </c>
      <c r="O8" t="s">
        <v>27</v>
      </c>
      <c r="P8" t="s">
        <v>29</v>
      </c>
      <c r="Q8" t="s">
        <v>27</v>
      </c>
      <c r="R8" t="s">
        <v>29</v>
      </c>
      <c r="S8" t="s">
        <v>27</v>
      </c>
      <c r="T8" t="s">
        <v>28</v>
      </c>
      <c r="U8" t="s">
        <v>27</v>
      </c>
      <c r="V8" t="s">
        <v>28</v>
      </c>
    </row>
    <row r="9" spans="1:22">
      <c r="A9">
        <v>42</v>
      </c>
      <c r="B9" t="s">
        <v>62</v>
      </c>
      <c r="C9" t="s">
        <v>63</v>
      </c>
      <c r="D9" t="s">
        <v>64</v>
      </c>
      <c r="E9" t="s">
        <v>65</v>
      </c>
      <c r="F9" t="s">
        <v>66</v>
      </c>
      <c r="G9" t="b">
        <f t="shared" si="0"/>
        <v>0</v>
      </c>
      <c r="H9">
        <v>5</v>
      </c>
      <c r="I9" t="s">
        <v>27</v>
      </c>
      <c r="J9" t="s">
        <v>27</v>
      </c>
      <c r="K9" t="s">
        <v>35</v>
      </c>
      <c r="L9" t="s">
        <v>27</v>
      </c>
      <c r="M9" t="s">
        <v>28</v>
      </c>
      <c r="N9" t="s">
        <v>27</v>
      </c>
      <c r="O9" t="s">
        <v>27</v>
      </c>
      <c r="P9" t="s">
        <v>29</v>
      </c>
      <c r="Q9" t="s">
        <v>27</v>
      </c>
      <c r="R9" t="s">
        <v>29</v>
      </c>
      <c r="S9" t="s">
        <v>27</v>
      </c>
      <c r="T9" t="s">
        <v>28</v>
      </c>
      <c r="U9" t="s">
        <v>27</v>
      </c>
      <c r="V9" t="s">
        <v>28</v>
      </c>
    </row>
    <row r="10" spans="1:22">
      <c r="A10">
        <v>43</v>
      </c>
      <c r="B10" t="s">
        <v>67</v>
      </c>
      <c r="C10" t="s">
        <v>68</v>
      </c>
      <c r="D10" t="s">
        <v>69</v>
      </c>
      <c r="E10" t="s">
        <v>70</v>
      </c>
      <c r="F10" t="s">
        <v>71</v>
      </c>
      <c r="G10" t="b">
        <f t="shared" si="0"/>
        <v>0</v>
      </c>
      <c r="H10">
        <v>5</v>
      </c>
      <c r="I10" t="s">
        <v>27</v>
      </c>
      <c r="J10" t="s">
        <v>27</v>
      </c>
      <c r="K10" t="s">
        <v>35</v>
      </c>
      <c r="L10" t="s">
        <v>27</v>
      </c>
      <c r="M10" t="s">
        <v>28</v>
      </c>
      <c r="N10" t="s">
        <v>27</v>
      </c>
      <c r="O10" t="s">
        <v>27</v>
      </c>
      <c r="P10" t="s">
        <v>29</v>
      </c>
      <c r="Q10" t="s">
        <v>27</v>
      </c>
      <c r="R10" t="s">
        <v>29</v>
      </c>
      <c r="S10" t="s">
        <v>27</v>
      </c>
      <c r="T10" t="s">
        <v>28</v>
      </c>
      <c r="U10" t="s">
        <v>27</v>
      </c>
      <c r="V10" t="s">
        <v>28</v>
      </c>
    </row>
    <row r="11" spans="1:22">
      <c r="A11">
        <v>47</v>
      </c>
      <c r="B11" t="s">
        <v>72</v>
      </c>
      <c r="C11" t="s">
        <v>73</v>
      </c>
      <c r="D11" t="s">
        <v>74</v>
      </c>
      <c r="E11" t="s">
        <v>75</v>
      </c>
      <c r="F11" t="s">
        <v>76</v>
      </c>
      <c r="G11" t="b">
        <f t="shared" si="0"/>
        <v>0</v>
      </c>
      <c r="H11">
        <v>5</v>
      </c>
      <c r="I11" t="s">
        <v>27</v>
      </c>
      <c r="J11" t="s">
        <v>27</v>
      </c>
      <c r="K11" t="s">
        <v>27</v>
      </c>
      <c r="L11" t="s">
        <v>27</v>
      </c>
      <c r="M11" t="s">
        <v>28</v>
      </c>
      <c r="N11" t="s">
        <v>27</v>
      </c>
      <c r="O11" t="s">
        <v>27</v>
      </c>
      <c r="P11" t="s">
        <v>29</v>
      </c>
      <c r="Q11" t="s">
        <v>27</v>
      </c>
      <c r="R11" t="s">
        <v>29</v>
      </c>
      <c r="S11" t="s">
        <v>27</v>
      </c>
      <c r="T11" t="s">
        <v>28</v>
      </c>
      <c r="U11" t="s">
        <v>27</v>
      </c>
      <c r="V11" t="s">
        <v>28</v>
      </c>
    </row>
    <row r="12" spans="1:22">
      <c r="A12">
        <v>49</v>
      </c>
      <c r="B12" t="s">
        <v>77</v>
      </c>
      <c r="C12" t="s">
        <v>78</v>
      </c>
      <c r="D12" t="s">
        <v>79</v>
      </c>
      <c r="E12" t="s">
        <v>80</v>
      </c>
      <c r="F12" t="s">
        <v>81</v>
      </c>
      <c r="G12" t="b">
        <f t="shared" si="0"/>
        <v>0</v>
      </c>
      <c r="H12">
        <v>3</v>
      </c>
      <c r="I12" t="s">
        <v>27</v>
      </c>
      <c r="J12" t="s">
        <v>27</v>
      </c>
      <c r="K12" t="s">
        <v>35</v>
      </c>
      <c r="L12" t="s">
        <v>27</v>
      </c>
      <c r="M12" t="s">
        <v>28</v>
      </c>
      <c r="N12" t="s">
        <v>27</v>
      </c>
      <c r="O12" t="s">
        <v>27</v>
      </c>
      <c r="P12" t="s">
        <v>29</v>
      </c>
      <c r="Q12" t="s">
        <v>27</v>
      </c>
      <c r="R12" t="s">
        <v>29</v>
      </c>
      <c r="S12" t="s">
        <v>27</v>
      </c>
      <c r="T12" t="s">
        <v>28</v>
      </c>
      <c r="U12" t="s">
        <v>27</v>
      </c>
      <c r="V12" t="s">
        <v>28</v>
      </c>
    </row>
    <row r="13" spans="1:22">
      <c r="A13">
        <v>69</v>
      </c>
      <c r="B13" t="s">
        <v>82</v>
      </c>
      <c r="C13" t="s">
        <v>83</v>
      </c>
      <c r="D13" t="s">
        <v>84</v>
      </c>
      <c r="E13" t="s">
        <v>85</v>
      </c>
      <c r="F13" t="s">
        <v>86</v>
      </c>
      <c r="G13" t="b">
        <f t="shared" si="0"/>
        <v>0</v>
      </c>
      <c r="H13">
        <v>5</v>
      </c>
      <c r="I13" t="s">
        <v>27</v>
      </c>
      <c r="J13" t="s">
        <v>27</v>
      </c>
      <c r="K13" t="s">
        <v>35</v>
      </c>
      <c r="L13" t="s">
        <v>27</v>
      </c>
      <c r="M13" t="s">
        <v>28</v>
      </c>
      <c r="N13" t="s">
        <v>27</v>
      </c>
      <c r="O13" t="s">
        <v>35</v>
      </c>
      <c r="P13" t="s">
        <v>29</v>
      </c>
      <c r="Q13" t="s">
        <v>27</v>
      </c>
      <c r="R13" t="s">
        <v>29</v>
      </c>
      <c r="S13" t="s">
        <v>27</v>
      </c>
      <c r="T13" t="s">
        <v>28</v>
      </c>
      <c r="U13" t="s">
        <v>27</v>
      </c>
      <c r="V13" t="s">
        <v>28</v>
      </c>
    </row>
    <row r="14" spans="1:22">
      <c r="A14">
        <v>75</v>
      </c>
      <c r="B14" t="s">
        <v>87</v>
      </c>
      <c r="C14" t="s">
        <v>88</v>
      </c>
      <c r="D14" t="s">
        <v>89</v>
      </c>
      <c r="E14" t="s">
        <v>90</v>
      </c>
      <c r="F14" t="s">
        <v>91</v>
      </c>
      <c r="G14" t="b">
        <f t="shared" si="0"/>
        <v>0</v>
      </c>
      <c r="H14">
        <v>5</v>
      </c>
      <c r="I14" t="s">
        <v>27</v>
      </c>
      <c r="J14" t="s">
        <v>27</v>
      </c>
      <c r="K14" t="s">
        <v>35</v>
      </c>
      <c r="L14" t="s">
        <v>27</v>
      </c>
      <c r="M14" t="s">
        <v>28</v>
      </c>
      <c r="N14" t="s">
        <v>27</v>
      </c>
      <c r="O14" t="s">
        <v>27</v>
      </c>
      <c r="P14" t="s">
        <v>29</v>
      </c>
      <c r="Q14" t="s">
        <v>27</v>
      </c>
      <c r="R14" t="s">
        <v>29</v>
      </c>
      <c r="S14" t="s">
        <v>27</v>
      </c>
      <c r="T14" t="s">
        <v>28</v>
      </c>
      <c r="U14" t="s">
        <v>27</v>
      </c>
      <c r="V14" t="s">
        <v>28</v>
      </c>
    </row>
    <row r="15" spans="1:22">
      <c r="A15">
        <v>84</v>
      </c>
      <c r="B15" t="s">
        <v>92</v>
      </c>
      <c r="C15" t="s">
        <v>93</v>
      </c>
      <c r="D15" t="s">
        <v>94</v>
      </c>
      <c r="E15" t="s">
        <v>95</v>
      </c>
      <c r="F15" t="s">
        <v>96</v>
      </c>
      <c r="G15" t="b">
        <f t="shared" si="0"/>
        <v>0</v>
      </c>
      <c r="H15">
        <v>5</v>
      </c>
      <c r="I15" t="s">
        <v>27</v>
      </c>
      <c r="J15" t="s">
        <v>27</v>
      </c>
      <c r="K15" t="s">
        <v>27</v>
      </c>
      <c r="L15" t="s">
        <v>27</v>
      </c>
      <c r="M15" t="s">
        <v>28</v>
      </c>
      <c r="N15" t="s">
        <v>27</v>
      </c>
      <c r="O15" t="s">
        <v>27</v>
      </c>
      <c r="P15" t="s">
        <v>29</v>
      </c>
      <c r="Q15" t="s">
        <v>27</v>
      </c>
      <c r="R15" t="s">
        <v>29</v>
      </c>
      <c r="S15" t="s">
        <v>27</v>
      </c>
      <c r="T15" t="s">
        <v>28</v>
      </c>
      <c r="U15" t="s">
        <v>27</v>
      </c>
      <c r="V15" t="s">
        <v>28</v>
      </c>
    </row>
    <row r="16" spans="1:22">
      <c r="A16">
        <v>99</v>
      </c>
      <c r="B16" t="s">
        <v>97</v>
      </c>
      <c r="C16" t="s">
        <v>98</v>
      </c>
      <c r="D16" t="s">
        <v>99</v>
      </c>
      <c r="E16" t="s">
        <v>100</v>
      </c>
      <c r="F16" t="s">
        <v>101</v>
      </c>
      <c r="G16" t="b">
        <f t="shared" si="0"/>
        <v>0</v>
      </c>
      <c r="H16">
        <v>5</v>
      </c>
      <c r="I16" t="s">
        <v>27</v>
      </c>
      <c r="J16" t="s">
        <v>27</v>
      </c>
      <c r="K16" t="s">
        <v>27</v>
      </c>
      <c r="L16" t="s">
        <v>27</v>
      </c>
      <c r="M16" t="s">
        <v>28</v>
      </c>
      <c r="N16" t="s">
        <v>27</v>
      </c>
      <c r="O16" t="s">
        <v>27</v>
      </c>
      <c r="P16" t="s">
        <v>29</v>
      </c>
      <c r="Q16" t="s">
        <v>27</v>
      </c>
      <c r="R16" t="s">
        <v>29</v>
      </c>
      <c r="S16" t="s">
        <v>28</v>
      </c>
      <c r="T16" t="s">
        <v>28</v>
      </c>
      <c r="U16" t="s">
        <v>27</v>
      </c>
      <c r="V16" t="s">
        <v>28</v>
      </c>
    </row>
    <row r="17" spans="1:22">
      <c r="A17">
        <v>165</v>
      </c>
      <c r="B17" t="s">
        <v>102</v>
      </c>
      <c r="C17" t="s">
        <v>103</v>
      </c>
      <c r="D17" t="s">
        <v>104</v>
      </c>
      <c r="E17" t="s">
        <v>105</v>
      </c>
      <c r="F17" t="s">
        <v>106</v>
      </c>
      <c r="G17" t="b">
        <f t="shared" si="0"/>
        <v>0</v>
      </c>
      <c r="H17">
        <v>5</v>
      </c>
      <c r="I17" t="s">
        <v>27</v>
      </c>
      <c r="J17" t="s">
        <v>27</v>
      </c>
      <c r="K17" t="s">
        <v>27</v>
      </c>
      <c r="L17" t="s">
        <v>27</v>
      </c>
      <c r="M17" t="s">
        <v>28</v>
      </c>
      <c r="N17" t="s">
        <v>27</v>
      </c>
      <c r="O17" t="s">
        <v>27</v>
      </c>
      <c r="P17" t="s">
        <v>29</v>
      </c>
      <c r="Q17" t="s">
        <v>27</v>
      </c>
      <c r="R17" t="s">
        <v>29</v>
      </c>
      <c r="S17" t="s">
        <v>27</v>
      </c>
      <c r="T17" t="s">
        <v>28</v>
      </c>
      <c r="U17" t="s">
        <v>27</v>
      </c>
      <c r="V17" t="s">
        <v>28</v>
      </c>
    </row>
    <row r="18" spans="1:22">
      <c r="A18">
        <v>191</v>
      </c>
      <c r="B18" t="s">
        <v>107</v>
      </c>
      <c r="C18" t="s">
        <v>108</v>
      </c>
      <c r="D18" t="s">
        <v>109</v>
      </c>
      <c r="E18" t="s">
        <v>110</v>
      </c>
      <c r="F18" t="s">
        <v>111</v>
      </c>
      <c r="G18" t="b">
        <f t="shared" si="0"/>
        <v>0</v>
      </c>
      <c r="H18">
        <v>5</v>
      </c>
      <c r="I18" t="s">
        <v>27</v>
      </c>
      <c r="J18" t="s">
        <v>27</v>
      </c>
      <c r="K18" t="s">
        <v>27</v>
      </c>
      <c r="L18" t="s">
        <v>27</v>
      </c>
      <c r="M18" t="s">
        <v>28</v>
      </c>
      <c r="N18" t="s">
        <v>27</v>
      </c>
      <c r="O18" t="s">
        <v>27</v>
      </c>
      <c r="P18" t="s">
        <v>29</v>
      </c>
      <c r="Q18" t="s">
        <v>28</v>
      </c>
      <c r="R18" t="s">
        <v>27</v>
      </c>
      <c r="S18" t="s">
        <v>27</v>
      </c>
      <c r="T18" t="s">
        <v>28</v>
      </c>
      <c r="U18" t="s">
        <v>27</v>
      </c>
      <c r="V18" t="s">
        <v>28</v>
      </c>
    </row>
    <row r="19" spans="1:22">
      <c r="A19">
        <v>214</v>
      </c>
      <c r="B19" t="s">
        <v>112</v>
      </c>
      <c r="C19" t="s">
        <v>113</v>
      </c>
      <c r="D19" t="s">
        <v>114</v>
      </c>
      <c r="E19" t="s">
        <v>115</v>
      </c>
      <c r="F19" t="s">
        <v>116</v>
      </c>
      <c r="G19" t="b">
        <f t="shared" si="0"/>
        <v>0</v>
      </c>
      <c r="H19">
        <v>5</v>
      </c>
      <c r="I19" t="s">
        <v>27</v>
      </c>
      <c r="J19" t="s">
        <v>27</v>
      </c>
      <c r="K19" t="s">
        <v>27</v>
      </c>
      <c r="L19" t="s">
        <v>27</v>
      </c>
      <c r="M19" t="s">
        <v>28</v>
      </c>
      <c r="N19" t="s">
        <v>27</v>
      </c>
      <c r="O19" t="s">
        <v>28</v>
      </c>
      <c r="P19" t="s">
        <v>29</v>
      </c>
      <c r="Q19" t="s">
        <v>27</v>
      </c>
      <c r="R19" t="s">
        <v>29</v>
      </c>
      <c r="S19" t="s">
        <v>27</v>
      </c>
      <c r="T19" t="s">
        <v>28</v>
      </c>
      <c r="U19" t="s">
        <v>27</v>
      </c>
      <c r="V19" t="s">
        <v>28</v>
      </c>
    </row>
    <row r="20" spans="1:22">
      <c r="A20">
        <v>218</v>
      </c>
      <c r="B20" t="s">
        <v>117</v>
      </c>
      <c r="C20" t="s">
        <v>118</v>
      </c>
      <c r="D20" t="s">
        <v>119</v>
      </c>
      <c r="E20" t="s">
        <v>120</v>
      </c>
      <c r="F20" t="s">
        <v>121</v>
      </c>
      <c r="G20" t="b">
        <f t="shared" si="0"/>
        <v>0</v>
      </c>
      <c r="H20">
        <v>5</v>
      </c>
      <c r="I20" t="s">
        <v>27</v>
      </c>
      <c r="J20" t="s">
        <v>27</v>
      </c>
      <c r="K20" t="s">
        <v>27</v>
      </c>
      <c r="L20" t="s">
        <v>27</v>
      </c>
      <c r="M20" t="s">
        <v>28</v>
      </c>
      <c r="N20" t="s">
        <v>27</v>
      </c>
      <c r="O20" t="s">
        <v>35</v>
      </c>
      <c r="P20" t="s">
        <v>29</v>
      </c>
      <c r="Q20" t="s">
        <v>27</v>
      </c>
      <c r="R20" t="s">
        <v>29</v>
      </c>
      <c r="S20" t="s">
        <v>27</v>
      </c>
      <c r="T20" t="s">
        <v>28</v>
      </c>
      <c r="U20" t="s">
        <v>27</v>
      </c>
      <c r="V20" t="s">
        <v>28</v>
      </c>
    </row>
    <row r="21" spans="1:22">
      <c r="A21">
        <v>245</v>
      </c>
      <c r="B21" t="s">
        <v>122</v>
      </c>
      <c r="C21" t="s">
        <v>123</v>
      </c>
      <c r="D21" t="s">
        <v>124</v>
      </c>
      <c r="E21" t="s">
        <v>125</v>
      </c>
      <c r="F21" t="s">
        <v>126</v>
      </c>
      <c r="G21" t="b">
        <f t="shared" si="0"/>
        <v>0</v>
      </c>
      <c r="H21">
        <v>5</v>
      </c>
      <c r="I21" t="s">
        <v>27</v>
      </c>
      <c r="J21" t="s">
        <v>27</v>
      </c>
      <c r="K21" t="s">
        <v>27</v>
      </c>
      <c r="L21" t="s">
        <v>27</v>
      </c>
      <c r="M21" t="s">
        <v>28</v>
      </c>
      <c r="N21" t="s">
        <v>27</v>
      </c>
      <c r="O21" t="s">
        <v>27</v>
      </c>
      <c r="P21" t="s">
        <v>29</v>
      </c>
      <c r="Q21" t="s">
        <v>27</v>
      </c>
      <c r="R21" t="s">
        <v>29</v>
      </c>
      <c r="S21" t="s">
        <v>27</v>
      </c>
      <c r="T21" t="s">
        <v>28</v>
      </c>
      <c r="U21" t="s">
        <v>27</v>
      </c>
      <c r="V21" t="s">
        <v>28</v>
      </c>
    </row>
    <row r="22" spans="1:22">
      <c r="A22">
        <v>295</v>
      </c>
      <c r="B22" t="s">
        <v>127</v>
      </c>
      <c r="C22" t="s">
        <v>128</v>
      </c>
      <c r="D22" t="s">
        <v>129</v>
      </c>
      <c r="E22" t="s">
        <v>130</v>
      </c>
      <c r="F22" t="s">
        <v>131</v>
      </c>
      <c r="G22" t="b">
        <f t="shared" si="0"/>
        <v>0</v>
      </c>
      <c r="H22">
        <v>3</v>
      </c>
      <c r="I22" t="s">
        <v>27</v>
      </c>
      <c r="J22" t="s">
        <v>27</v>
      </c>
      <c r="K22" t="s">
        <v>35</v>
      </c>
      <c r="L22" t="s">
        <v>27</v>
      </c>
      <c r="M22" t="s">
        <v>28</v>
      </c>
      <c r="N22" t="s">
        <v>27</v>
      </c>
      <c r="O22" t="s">
        <v>27</v>
      </c>
      <c r="P22" t="s">
        <v>29</v>
      </c>
      <c r="Q22" t="s">
        <v>27</v>
      </c>
      <c r="R22" t="s">
        <v>29</v>
      </c>
      <c r="S22" t="s">
        <v>27</v>
      </c>
      <c r="T22" t="s">
        <v>28</v>
      </c>
      <c r="U22" t="s">
        <v>27</v>
      </c>
      <c r="V22" t="s">
        <v>28</v>
      </c>
    </row>
    <row r="23" spans="1:22">
      <c r="A23">
        <v>357</v>
      </c>
      <c r="B23" t="s">
        <v>132</v>
      </c>
      <c r="C23" t="s">
        <v>133</v>
      </c>
      <c r="D23" t="s">
        <v>134</v>
      </c>
      <c r="F23" t="s">
        <v>135</v>
      </c>
      <c r="G23" t="b">
        <f t="shared" si="0"/>
        <v>0</v>
      </c>
      <c r="H23">
        <v>5</v>
      </c>
      <c r="I23" t="s">
        <v>27</v>
      </c>
      <c r="J23" t="s">
        <v>27</v>
      </c>
      <c r="K23" t="s">
        <v>35</v>
      </c>
      <c r="L23" t="s">
        <v>27</v>
      </c>
      <c r="M23" t="s">
        <v>28</v>
      </c>
      <c r="N23" t="s">
        <v>27</v>
      </c>
      <c r="O23" t="s">
        <v>28</v>
      </c>
      <c r="P23" t="s">
        <v>29</v>
      </c>
      <c r="Q23" t="s">
        <v>27</v>
      </c>
      <c r="R23" t="s">
        <v>29</v>
      </c>
      <c r="S23" t="s">
        <v>27</v>
      </c>
      <c r="T23" t="s">
        <v>28</v>
      </c>
      <c r="U23" t="s">
        <v>27</v>
      </c>
      <c r="V23" t="s">
        <v>28</v>
      </c>
    </row>
    <row r="24" spans="1:22">
      <c r="A24">
        <v>372</v>
      </c>
      <c r="B24" t="s">
        <v>136</v>
      </c>
      <c r="C24" t="s">
        <v>137</v>
      </c>
      <c r="D24" t="s">
        <v>138</v>
      </c>
      <c r="E24" t="s">
        <v>139</v>
      </c>
      <c r="F24" t="s">
        <v>140</v>
      </c>
      <c r="G24" t="b">
        <f t="shared" si="0"/>
        <v>0</v>
      </c>
      <c r="H24">
        <v>5</v>
      </c>
      <c r="I24" t="s">
        <v>27</v>
      </c>
      <c r="J24" t="s">
        <v>27</v>
      </c>
      <c r="K24" t="s">
        <v>27</v>
      </c>
      <c r="L24" t="s">
        <v>27</v>
      </c>
      <c r="M24" t="s">
        <v>28</v>
      </c>
      <c r="N24" t="s">
        <v>27</v>
      </c>
      <c r="O24" t="s">
        <v>27</v>
      </c>
      <c r="P24" t="s">
        <v>29</v>
      </c>
      <c r="Q24" t="s">
        <v>27</v>
      </c>
      <c r="R24" t="s">
        <v>29</v>
      </c>
      <c r="S24" t="s">
        <v>27</v>
      </c>
      <c r="T24" t="s">
        <v>28</v>
      </c>
      <c r="U24" t="s">
        <v>27</v>
      </c>
      <c r="V24" t="s">
        <v>28</v>
      </c>
    </row>
    <row r="25" spans="1:22">
      <c r="A25">
        <v>416</v>
      </c>
      <c r="B25" t="s">
        <v>141</v>
      </c>
      <c r="C25" t="s">
        <v>142</v>
      </c>
      <c r="D25" t="s">
        <v>143</v>
      </c>
      <c r="E25" t="s">
        <v>144</v>
      </c>
      <c r="F25" t="s">
        <v>145</v>
      </c>
      <c r="G25" t="b">
        <f t="shared" si="0"/>
        <v>0</v>
      </c>
      <c r="H25">
        <v>5</v>
      </c>
      <c r="I25" t="s">
        <v>27</v>
      </c>
      <c r="J25" t="s">
        <v>27</v>
      </c>
      <c r="K25" t="s">
        <v>35</v>
      </c>
      <c r="L25" t="s">
        <v>27</v>
      </c>
      <c r="M25" t="s">
        <v>28</v>
      </c>
      <c r="N25" t="s">
        <v>27</v>
      </c>
      <c r="O25" t="s">
        <v>27</v>
      </c>
      <c r="P25" t="s">
        <v>29</v>
      </c>
      <c r="Q25" t="s">
        <v>27</v>
      </c>
      <c r="R25" t="s">
        <v>29</v>
      </c>
      <c r="S25" t="s">
        <v>27</v>
      </c>
      <c r="T25" t="s">
        <v>28</v>
      </c>
      <c r="U25" t="s">
        <v>27</v>
      </c>
      <c r="V25" t="s">
        <v>28</v>
      </c>
    </row>
    <row r="26" spans="1:22">
      <c r="A26">
        <v>418</v>
      </c>
      <c r="B26" t="s">
        <v>146</v>
      </c>
      <c r="C26" t="s">
        <v>147</v>
      </c>
      <c r="D26" t="s">
        <v>148</v>
      </c>
      <c r="E26" t="s">
        <v>149</v>
      </c>
      <c r="F26" t="s">
        <v>150</v>
      </c>
      <c r="G26" t="b">
        <f t="shared" si="0"/>
        <v>0</v>
      </c>
      <c r="H26">
        <v>5</v>
      </c>
      <c r="I26" t="s">
        <v>27</v>
      </c>
      <c r="J26" t="s">
        <v>27</v>
      </c>
      <c r="K26" t="s">
        <v>35</v>
      </c>
      <c r="L26" t="s">
        <v>27</v>
      </c>
      <c r="M26" t="s">
        <v>28</v>
      </c>
      <c r="N26" t="s">
        <v>27</v>
      </c>
      <c r="O26" t="s">
        <v>27</v>
      </c>
      <c r="P26" t="s">
        <v>29</v>
      </c>
      <c r="Q26" t="s">
        <v>27</v>
      </c>
      <c r="R26" t="s">
        <v>29</v>
      </c>
      <c r="S26" t="s">
        <v>27</v>
      </c>
      <c r="T26" t="s">
        <v>28</v>
      </c>
      <c r="U26" t="s">
        <v>27</v>
      </c>
      <c r="V26" t="s">
        <v>28</v>
      </c>
    </row>
    <row r="27" spans="1:22">
      <c r="A27">
        <v>477</v>
      </c>
      <c r="B27" t="s">
        <v>151</v>
      </c>
      <c r="C27" t="s">
        <v>152</v>
      </c>
      <c r="D27" t="s">
        <v>153</v>
      </c>
      <c r="E27" t="s">
        <v>154</v>
      </c>
      <c r="F27" t="s">
        <v>155</v>
      </c>
      <c r="G27" t="b">
        <f t="shared" si="0"/>
        <v>0</v>
      </c>
      <c r="H27">
        <v>5</v>
      </c>
      <c r="I27" t="s">
        <v>27</v>
      </c>
      <c r="J27" t="s">
        <v>27</v>
      </c>
      <c r="K27" t="s">
        <v>35</v>
      </c>
      <c r="L27" t="s">
        <v>27</v>
      </c>
      <c r="M27" t="s">
        <v>28</v>
      </c>
      <c r="N27" t="s">
        <v>27</v>
      </c>
      <c r="O27" t="s">
        <v>27</v>
      </c>
      <c r="P27" t="s">
        <v>29</v>
      </c>
      <c r="Q27" t="s">
        <v>27</v>
      </c>
      <c r="R27" t="s">
        <v>29</v>
      </c>
      <c r="S27" t="s">
        <v>27</v>
      </c>
      <c r="T27" t="s">
        <v>28</v>
      </c>
      <c r="U27" t="s">
        <v>27</v>
      </c>
      <c r="V27" t="s">
        <v>28</v>
      </c>
    </row>
    <row r="28" spans="1:22">
      <c r="A28">
        <v>506</v>
      </c>
      <c r="B28" t="s">
        <v>156</v>
      </c>
      <c r="C28" t="s">
        <v>157</v>
      </c>
      <c r="D28" t="s">
        <v>158</v>
      </c>
      <c r="E28" t="s">
        <v>159</v>
      </c>
      <c r="F28" t="s">
        <v>160</v>
      </c>
      <c r="G28" t="b">
        <f t="shared" si="0"/>
        <v>0</v>
      </c>
      <c r="H28">
        <v>5</v>
      </c>
      <c r="I28" t="s">
        <v>27</v>
      </c>
      <c r="J28" t="s">
        <v>27</v>
      </c>
      <c r="K28" t="s">
        <v>35</v>
      </c>
      <c r="L28" t="s">
        <v>27</v>
      </c>
      <c r="M28" t="s">
        <v>28</v>
      </c>
      <c r="N28" t="s">
        <v>27</v>
      </c>
      <c r="O28" t="s">
        <v>27</v>
      </c>
      <c r="P28" t="s">
        <v>29</v>
      </c>
      <c r="Q28" t="s">
        <v>27</v>
      </c>
      <c r="R28" t="s">
        <v>29</v>
      </c>
      <c r="S28" t="s">
        <v>27</v>
      </c>
      <c r="T28" t="s">
        <v>28</v>
      </c>
      <c r="U28" t="s">
        <v>27</v>
      </c>
      <c r="V28" t="s">
        <v>28</v>
      </c>
    </row>
    <row r="29" spans="1:22">
      <c r="A29">
        <v>565</v>
      </c>
      <c r="B29" t="s">
        <v>161</v>
      </c>
      <c r="C29" t="s">
        <v>162</v>
      </c>
      <c r="D29" t="s">
        <v>163</v>
      </c>
      <c r="E29" t="s">
        <v>164</v>
      </c>
      <c r="F29" t="s">
        <v>165</v>
      </c>
      <c r="G29" t="b">
        <f t="shared" si="0"/>
        <v>0</v>
      </c>
      <c r="H29">
        <v>5</v>
      </c>
      <c r="I29" t="s">
        <v>27</v>
      </c>
      <c r="J29" t="s">
        <v>27</v>
      </c>
      <c r="K29" t="s">
        <v>27</v>
      </c>
      <c r="L29" t="s">
        <v>27</v>
      </c>
      <c r="M29" t="s">
        <v>28</v>
      </c>
      <c r="N29" t="s">
        <v>27</v>
      </c>
      <c r="O29" t="s">
        <v>27</v>
      </c>
      <c r="P29" t="s">
        <v>29</v>
      </c>
      <c r="Q29" t="s">
        <v>27</v>
      </c>
      <c r="R29" t="s">
        <v>29</v>
      </c>
      <c r="S29" t="s">
        <v>27</v>
      </c>
      <c r="T29" t="s">
        <v>28</v>
      </c>
      <c r="U29" t="s">
        <v>27</v>
      </c>
      <c r="V29" t="s">
        <v>28</v>
      </c>
    </row>
    <row r="30" spans="1:22">
      <c r="A30">
        <v>636</v>
      </c>
      <c r="B30" t="s">
        <v>166</v>
      </c>
      <c r="C30" t="s">
        <v>167</v>
      </c>
      <c r="D30" t="s">
        <v>168</v>
      </c>
      <c r="E30" t="s">
        <v>169</v>
      </c>
      <c r="F30" t="s">
        <v>170</v>
      </c>
      <c r="G30" t="b">
        <f t="shared" si="0"/>
        <v>0</v>
      </c>
      <c r="H30">
        <v>5</v>
      </c>
      <c r="I30" t="s">
        <v>27</v>
      </c>
      <c r="J30" t="s">
        <v>27</v>
      </c>
      <c r="K30" t="s">
        <v>35</v>
      </c>
      <c r="L30" t="s">
        <v>27</v>
      </c>
      <c r="M30" t="s">
        <v>28</v>
      </c>
      <c r="N30" t="s">
        <v>27</v>
      </c>
      <c r="O30" t="s">
        <v>27</v>
      </c>
      <c r="P30" t="s">
        <v>29</v>
      </c>
      <c r="Q30" t="s">
        <v>27</v>
      </c>
      <c r="R30" t="s">
        <v>29</v>
      </c>
      <c r="S30" t="s">
        <v>27</v>
      </c>
      <c r="T30" t="s">
        <v>28</v>
      </c>
      <c r="U30" t="s">
        <v>27</v>
      </c>
      <c r="V30" t="s">
        <v>28</v>
      </c>
    </row>
    <row r="31" spans="1:22">
      <c r="A31">
        <v>740</v>
      </c>
      <c r="B31" t="s">
        <v>171</v>
      </c>
      <c r="C31" t="s">
        <v>172</v>
      </c>
      <c r="D31" t="s">
        <v>173</v>
      </c>
      <c r="F31" t="s">
        <v>174</v>
      </c>
      <c r="G31" t="b">
        <f t="shared" si="0"/>
        <v>1</v>
      </c>
      <c r="H31">
        <v>1</v>
      </c>
      <c r="I31" t="s">
        <v>27</v>
      </c>
      <c r="J31" t="s">
        <v>27</v>
      </c>
      <c r="K31" t="s">
        <v>35</v>
      </c>
      <c r="L31" t="s">
        <v>27</v>
      </c>
      <c r="M31" t="s">
        <v>28</v>
      </c>
      <c r="N31" t="s">
        <v>27</v>
      </c>
      <c r="O31" t="s">
        <v>28</v>
      </c>
      <c r="P31" t="s">
        <v>29</v>
      </c>
      <c r="Q31" t="s">
        <v>35</v>
      </c>
      <c r="R31" t="s">
        <v>29</v>
      </c>
      <c r="S31" t="s">
        <v>36</v>
      </c>
      <c r="T31" t="s">
        <v>28</v>
      </c>
      <c r="U31" t="s">
        <v>35</v>
      </c>
      <c r="V31" t="s">
        <v>28</v>
      </c>
    </row>
    <row r="32" spans="1:22">
      <c r="A32">
        <v>742</v>
      </c>
      <c r="B32" t="s">
        <v>175</v>
      </c>
      <c r="C32" t="s">
        <v>176</v>
      </c>
      <c r="D32" t="s">
        <v>177</v>
      </c>
      <c r="E32" t="s">
        <v>178</v>
      </c>
      <c r="F32" t="s">
        <v>179</v>
      </c>
      <c r="G32" t="b">
        <f t="shared" si="0"/>
        <v>1</v>
      </c>
      <c r="H32">
        <v>1</v>
      </c>
      <c r="I32" t="s">
        <v>27</v>
      </c>
      <c r="J32" t="s">
        <v>27</v>
      </c>
      <c r="K32" t="s">
        <v>28</v>
      </c>
      <c r="L32" t="s">
        <v>27</v>
      </c>
      <c r="M32" t="s">
        <v>28</v>
      </c>
      <c r="N32" t="s">
        <v>27</v>
      </c>
      <c r="O32" t="s">
        <v>35</v>
      </c>
      <c r="P32" t="s">
        <v>29</v>
      </c>
      <c r="Q32" t="s">
        <v>35</v>
      </c>
      <c r="R32" t="s">
        <v>29</v>
      </c>
      <c r="S32" t="s">
        <v>36</v>
      </c>
      <c r="T32" t="s">
        <v>28</v>
      </c>
      <c r="U32" t="s">
        <v>35</v>
      </c>
      <c r="V32" t="s">
        <v>28</v>
      </c>
    </row>
    <row r="33" spans="1:22">
      <c r="A33">
        <v>750</v>
      </c>
      <c r="B33" t="s">
        <v>180</v>
      </c>
      <c r="C33" t="s">
        <v>181</v>
      </c>
      <c r="D33" t="s">
        <v>182</v>
      </c>
      <c r="E33" t="s">
        <v>183</v>
      </c>
      <c r="F33" t="s">
        <v>184</v>
      </c>
      <c r="G33" t="b">
        <f t="shared" si="0"/>
        <v>0</v>
      </c>
      <c r="H33">
        <v>5</v>
      </c>
      <c r="I33" t="s">
        <v>27</v>
      </c>
      <c r="J33" t="s">
        <v>27</v>
      </c>
      <c r="K33" t="s">
        <v>27</v>
      </c>
      <c r="L33" t="s">
        <v>27</v>
      </c>
      <c r="M33" t="s">
        <v>28</v>
      </c>
      <c r="N33" t="s">
        <v>27</v>
      </c>
      <c r="O33" t="s">
        <v>27</v>
      </c>
      <c r="P33" t="s">
        <v>29</v>
      </c>
      <c r="Q33" t="s">
        <v>28</v>
      </c>
      <c r="R33" t="s">
        <v>29</v>
      </c>
      <c r="S33" t="s">
        <v>36</v>
      </c>
      <c r="T33" t="s">
        <v>28</v>
      </c>
      <c r="U33" t="s">
        <v>27</v>
      </c>
      <c r="V33" t="s">
        <v>28</v>
      </c>
    </row>
    <row r="34" spans="1:22">
      <c r="A34">
        <v>854</v>
      </c>
      <c r="B34" t="s">
        <v>185</v>
      </c>
      <c r="C34" t="s">
        <v>186</v>
      </c>
      <c r="D34" t="s">
        <v>187</v>
      </c>
      <c r="E34" t="s">
        <v>188</v>
      </c>
      <c r="F34" t="s">
        <v>189</v>
      </c>
      <c r="G34" t="b">
        <f t="shared" si="0"/>
        <v>0</v>
      </c>
      <c r="H34">
        <v>5</v>
      </c>
      <c r="I34" t="s">
        <v>27</v>
      </c>
      <c r="J34" t="s">
        <v>27</v>
      </c>
      <c r="K34" t="s">
        <v>35</v>
      </c>
      <c r="L34" t="s">
        <v>27</v>
      </c>
      <c r="M34" t="s">
        <v>28</v>
      </c>
      <c r="N34" t="s">
        <v>27</v>
      </c>
      <c r="O34" t="s">
        <v>27</v>
      </c>
      <c r="P34" t="s">
        <v>29</v>
      </c>
      <c r="Q34" t="s">
        <v>27</v>
      </c>
      <c r="R34" t="s">
        <v>29</v>
      </c>
      <c r="S34" t="s">
        <v>27</v>
      </c>
      <c r="T34" t="s">
        <v>28</v>
      </c>
      <c r="U34" t="s">
        <v>27</v>
      </c>
      <c r="V34" t="s">
        <v>28</v>
      </c>
    </row>
  </sheetData>
  <autoFilter ref="A1:V1" xr:uid="{00000000-0001-0000-0000-000000000000}">
    <sortState xmlns:xlrd2="http://schemas.microsoft.com/office/spreadsheetml/2017/richdata2" ref="A2:V33">
      <sortCondition ref="A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Chang, Alexander W.</cp:lastModifiedBy>
  <cp:revision/>
  <dcterms:created xsi:type="dcterms:W3CDTF">2024-12-02T19:17:30Z</dcterms:created>
  <dcterms:modified xsi:type="dcterms:W3CDTF">2024-12-20T20:25:34Z</dcterms:modified>
  <cp:category/>
  <cp:contentStatus/>
</cp:coreProperties>
</file>