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7"/>
  <workbookPr/>
  <xr:revisionPtr revIDLastSave="266" documentId="11_0B1D56BE9CDCCE836B02CE7A5FB0D4A9BBFD1C62" xr6:coauthVersionLast="47" xr6:coauthVersionMax="47" xr10:uidLastSave="{F23007F0-8636-4B13-A9AA-BB472C26E2C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</calcChain>
</file>

<file path=xl/sharedStrings.xml><?xml version="1.0" encoding="utf-8"?>
<sst xmlns="http://schemas.openxmlformats.org/spreadsheetml/2006/main" count="1017" uniqueCount="381">
  <si>
    <t>publication_id</t>
  </si>
  <si>
    <t>title</t>
  </si>
  <si>
    <t>first_author</t>
  </si>
  <si>
    <t>doi</t>
  </si>
  <si>
    <t>resource_uri</t>
  </si>
  <si>
    <t>doi_hyperlink</t>
  </si>
  <si>
    <t>is_abstract</t>
  </si>
  <si>
    <t>publication_class</t>
  </si>
  <si>
    <t>1. Were patient’s demographic characteristics clearly described?</t>
  </si>
  <si>
    <t>2. Was the patient’s history clearly described and presented as a timeline?</t>
  </si>
  <si>
    <t>3. Was the current clinical condition of the patient on presentation clearly described?</t>
  </si>
  <si>
    <t>4. Were diagnostic tests or assessment methods and the results clearly described?</t>
  </si>
  <si>
    <t>5. Was the intervention(s) or treatment procedure(s) clearly described?</t>
  </si>
  <si>
    <t xml:space="preserve">6. Was the post-intervention clinical condition clearly described? </t>
  </si>
  <si>
    <t>7. Were adverse events (harms) or unanticipated events identified and described?</t>
  </si>
  <si>
    <t>8. Does the case report provide takeaway lessons?</t>
  </si>
  <si>
    <t>A de novo ryanodine receptor 2 gene variant in a case of sudden cardiac death</t>
  </si>
  <si>
    <t>Foti, F.</t>
  </si>
  <si>
    <t>10.1007/s00414-019-02160-8</t>
  </si>
  <si>
    <t>https://pubmed.ncbi.nlm.nih.gov/31605164</t>
  </si>
  <si>
    <t>https://doi.org/10.1007/s00414-019-02160-8</t>
  </si>
  <si>
    <t>YES</t>
  </si>
  <si>
    <t>NO</t>
  </si>
  <si>
    <t>NA</t>
  </si>
  <si>
    <t>Successful treatment of catecholaminergic polymorphic ventricular tachycardia with flecainide: a case report and review of the current literature</t>
  </si>
  <si>
    <t>Pott, C.</t>
  </si>
  <si>
    <t>10.1093/europace/euq517</t>
  </si>
  <si>
    <t>https://pubmed.ncbi.nlm.nih.gov/21292648</t>
  </si>
  <si>
    <t>https://doi.org/10.1093/europace/euq517</t>
  </si>
  <si>
    <t>A novel mutation in the cardiac ryanodine receptor gene (RyR2) in a patient with an unequivocal LQTS (2011)</t>
  </si>
  <si>
    <t>Kauferstein, S</t>
  </si>
  <si>
    <t>10.1016/j.ijcard.2010.10.062</t>
  </si>
  <si>
    <t>https://pubmed.ncbi.nlm.nih.gov/21126784</t>
  </si>
  <si>
    <t>https://doi.org/10.1016/j.ijcard.2010.10.062</t>
  </si>
  <si>
    <t xml:space="preserve">Ryanodine receptor 2 mutation: Not only catecholaminergic polymorphic ventricular tachycardia but also epileptiform discharges in electroencephalogram </t>
  </si>
  <si>
    <t>She, Y</t>
  </si>
  <si>
    <t>N/A</t>
  </si>
  <si>
    <t>https://www.neurology-asia.org/articles/neuroasia-2020-25(3)-387.pdf</t>
  </si>
  <si>
    <t>Catecholaminergic Polymorphic Ventricular Tachycardia in a Patient With Recurrent Exertional Syncope</t>
  </si>
  <si>
    <t>Kim, Na Y</t>
  </si>
  <si>
    <t>10.4070/kcj.2012.42.2.129</t>
  </si>
  <si>
    <t>https://pubmed.ncbi.nlm.nih.gov/22396703</t>
  </si>
  <si>
    <t>https://doi.org/10.4070/kcj.2012.42.2.129</t>
  </si>
  <si>
    <t>Rare RYR2 p.Thr85Ile variant in associated with catecholaminergic polymorphic ventricular tachycardia</t>
  </si>
  <si>
    <t>Kohli, U.</t>
  </si>
  <si>
    <t>10.1016/j.jelectrocard.2020.07.016</t>
  </si>
  <si>
    <t>https://pubmed.ncbi.nlm.nih.gov/32866913</t>
  </si>
  <si>
    <t>https://doi.org/10.1016/j.jelectrocard.2020.07.016</t>
  </si>
  <si>
    <t>Flecainide in patient with aggressive catecholaminergic polymorphic ventricular tachycardia due to novel RYR2 mutation.</t>
  </si>
  <si>
    <t>Wangüemert-Pérez F</t>
  </si>
  <si>
    <t>https://pubmed.ncbi.nlm.nih.gov/25012103</t>
  </si>
  <si>
    <t>Primary hyperparathyroidism and recurrent ventricular tachyarrhythmia in a patient with novel RyR2 variant but without structural heart disease</t>
  </si>
  <si>
    <t>Pedersen, CM</t>
  </si>
  <si>
    <t>10.1002/ccr3.2363</t>
  </si>
  <si>
    <t>https://pubmed.ncbi.nlm.nih.gov/31624606</t>
  </si>
  <si>
    <t>https://doi.org/10.1002/ccr3.2363</t>
  </si>
  <si>
    <t>Inherited Catecholaminergic Polymorphic Ventricular Tachycardia Due to RYR2 Mutation</t>
  </si>
  <si>
    <t>Watanabe, T</t>
  </si>
  <si>
    <t>10.1111/ped.12910</t>
  </si>
  <si>
    <t>https://pubmed.ncbi.nlm.nih.gov/27225049</t>
  </si>
  <si>
    <t>https://doi.org/10.1111/ped.12910</t>
  </si>
  <si>
    <t>A novel ryanodine receptor 2 gene mutation in a case with short coupled variant of torsade de pointes</t>
  </si>
  <si>
    <t>Aoki, H.</t>
  </si>
  <si>
    <t>10.1016/j.hrthm.2016.03.027</t>
  </si>
  <si>
    <t>https://www.embase.com/records?id=L72283127</t>
  </si>
  <si>
    <t>https://doi.org/10.1016/j.hrthm.2016.03.027</t>
  </si>
  <si>
    <t>Ventricular fibrillation and QT prolongation during oral stimulators in a patient carrying an RYR2 mutation</t>
  </si>
  <si>
    <t>Hasegawa, K</t>
  </si>
  <si>
    <t>10.1007/s40278-018-47903-3</t>
  </si>
  <si>
    <t>https://www.embase.com/records?id=L622469644</t>
  </si>
  <si>
    <t>https://doi.org/10.1007/s40278-018-47903-3</t>
  </si>
  <si>
    <t>An interesting case of syncope</t>
  </si>
  <si>
    <t xml:space="preserve">Liegise, A. </t>
  </si>
  <si>
    <t>10.1016/j.ihj.2018.10.332</t>
  </si>
  <si>
    <t>https://doi.org/10.1016/j.ihj.2018.10.332</t>
  </si>
  <si>
    <t>A de novo novel cardiac ryanodine mutation (Ser2155Tyr) associated with catecholaminergic polymorphic ventricular tachycardia</t>
  </si>
  <si>
    <t>Mantziari, L.</t>
  </si>
  <si>
    <t>10.1111/anec.12089</t>
  </si>
  <si>
    <t>https://pubmed.ncbi.nlm.nih.gov/24147812</t>
  </si>
  <si>
    <t>https://doi.org/10.1111/anec.12089</t>
  </si>
  <si>
    <t>A novel mutation in the RYR2 gene leading to catecholaminergic polymorphic ventricular tachycardia and paroxysmal atrial fibrillation: dose-dependent arrhythmia-event suppression by beta-blocker therapy</t>
  </si>
  <si>
    <t>Kazemian, P.</t>
  </si>
  <si>
    <t>10.1016/j.cjca.2011.02.003</t>
  </si>
  <si>
    <t>https://pubmed.ncbi.nlm.nih.gov/21652165</t>
  </si>
  <si>
    <t>https://doi.org/10.1016/j.cjca.2011.02.003</t>
  </si>
  <si>
    <t>Sudden cardiac death despite an implantable cardioverter-defibrillator in a young female with catecholaminergic ventricular tachycardia</t>
  </si>
  <si>
    <t>Mohamed, U.</t>
  </si>
  <si>
    <t>10.1016/j.hrthm.2006.08.018</t>
  </si>
  <si>
    <t>https://pubmed.ncbi.nlm.nih.gov/17161793</t>
  </si>
  <si>
    <t>https://doi.org/10.1016/j.hrthm.2006.08.018</t>
  </si>
  <si>
    <t>Complex approach to treatment of severe catecholaminergic polymorphic ventricular tachycardia in a 12-years-old boy</t>
  </si>
  <si>
    <t>Loevets, TS</t>
  </si>
  <si>
    <t>10.1093/europace/euz07</t>
  </si>
  <si>
    <t>https://www.embase.com/records?id=L628376942</t>
  </si>
  <si>
    <t>https://doi.org/10.1093/europace/euz07</t>
  </si>
  <si>
    <t>Movin' and shakin'</t>
  </si>
  <si>
    <t>Caltagirone, R.</t>
  </si>
  <si>
    <t>10.1016/j.cpem.2013.05.001</t>
  </si>
  <si>
    <t>https://doi.org/10.1016/j.cpem.2013.05.001</t>
  </si>
  <si>
    <t>Recurrent Cardiac Arrest With Negative Stress Test: An Unusual Presentation of Catecholaminergic Polymorphic Ventricular Tachycardia</t>
  </si>
  <si>
    <t>Annor, AK</t>
  </si>
  <si>
    <t>10.1016/j.jaccas.2020.05.075</t>
  </si>
  <si>
    <t>https://doi.org/10.1016/j.jaccas.2020.05.075</t>
  </si>
  <si>
    <t>A family with recurrent sudden death and no clinical clue</t>
  </si>
  <si>
    <t>Arad, M.</t>
  </si>
  <si>
    <t>10.1111/anec.12024</t>
  </si>
  <si>
    <t>https://pubmed.ncbi.nlm.nih.gov/23094885</t>
  </si>
  <si>
    <t>https://doi.org/10.1111/anec.12024</t>
  </si>
  <si>
    <t>Beyond stage fright: a case of glossophobia-induced sudden cardiac arrest</t>
  </si>
  <si>
    <t>Annor, A.</t>
  </si>
  <si>
    <t>10.1016/S0735-1097(19)32921-3</t>
  </si>
  <si>
    <t>https://doi.org/10.1016/S0735-1097(19)32921-3</t>
  </si>
  <si>
    <t>Successful catheter ablation of bidirectional ventricular premature contractions triggering ventricular fibrillation in catecholaminergic polymorphic ventricular tachycardia with RyR2 mutation</t>
  </si>
  <si>
    <t>Kaneshiro, T.</t>
  </si>
  <si>
    <t>10.1161/CIRCEP.111.966549</t>
  </si>
  <si>
    <t>https://pubmed.ncbi.nlm.nih.gov/22334434</t>
  </si>
  <si>
    <t>https://doi.org/10.1161/CIRCEP.111.966549</t>
  </si>
  <si>
    <t>A recurrent exertional syncope and sudden cardiac arrest in a young athlete with known pathogenic p.Arg420Gln variant in the RyR2 gene</t>
  </si>
  <si>
    <t>Stępień-Wojno, M</t>
  </si>
  <si>
    <t>10.3390/diagnostics10070435</t>
  </si>
  <si>
    <t>https://pubmed.ncbi.nlm.nih.gov/32605058</t>
  </si>
  <si>
    <t>https://doi.org/10.3390/diagnostics10070435</t>
  </si>
  <si>
    <t>A 35-year effective treatment of catecholaminergic polymorphic ventricular tachycardia with propafenone</t>
  </si>
  <si>
    <t>Marx, A.</t>
  </si>
  <si>
    <t>10.1016/j.hrcr.2018.04.003</t>
  </si>
  <si>
    <t>https://pubmed.ncbi.nlm.nih.gov/30820400</t>
  </si>
  <si>
    <t>https://doi.org/10.1016/j.hrcr.2018.04.003</t>
  </si>
  <si>
    <t>Comprehensive and systemic evaluation following unexplained cardiac arrest</t>
  </si>
  <si>
    <t>Cheung, CC</t>
  </si>
  <si>
    <t>10.1007/978-3-030-28533-3_51</t>
  </si>
  <si>
    <t>https://doi.org/10.1007/978-3-030-28533-3_51</t>
  </si>
  <si>
    <t>Prophylactic left thoracic sympathectomy to prevent electrical storms in CPVT patients needing ICD placement.</t>
  </si>
  <si>
    <t>Moray A</t>
  </si>
  <si>
    <t>10.1016/j.hlc.2011.03.003</t>
  </si>
  <si>
    <t>https://pubmed.ncbi.nlm.nih.gov/21478052</t>
  </si>
  <si>
    <t>https://doi.org/10.1016/j.hlc.2011.03.003</t>
  </si>
  <si>
    <t>Hypertrophic cardiomyopathy, catecholaminergic polymorphic ventricular tachycardia. Does genetics always help?</t>
  </si>
  <si>
    <t>Marzo Checa, L</t>
  </si>
  <si>
    <t>10.1017/S1047951119000489</t>
  </si>
  <si>
    <t>https://doi.org/10.1017/S1047951119000489</t>
  </si>
  <si>
    <t>Molecular and Functional Characterization of Novel Mutation in the Cardiac Ryanodine Receptor Gene (RYR2) in a Patient With Long QT Syndrome</t>
  </si>
  <si>
    <t>Valdivia, C</t>
  </si>
  <si>
    <t>10.1016/j.yjmcc.2016.06.065</t>
  </si>
  <si>
    <t>https://www.embase.com/records?id=L622272530</t>
  </si>
  <si>
    <t>https://doi.org/10.1016/j.yjmcc.2016.06.065</t>
  </si>
  <si>
    <t>Germline and somatic mosaicism for a mutation of the ryanodine receptor type 2 gene: implication for genetic counselling and patient caring</t>
  </si>
  <si>
    <t>Roux-Buisson, N.</t>
  </si>
  <si>
    <t>10.1093/europace/euq331</t>
  </si>
  <si>
    <t>https://pubmed.ncbi.nlm.nih.gov/20851825</t>
  </si>
  <si>
    <t>https://doi.org/10.1093/europace/euq331</t>
  </si>
  <si>
    <t>The Impact of Verapamil on Catecholamine Polymorphic Ventricular Tachycardia</t>
  </si>
  <si>
    <t>Liu, J</t>
  </si>
  <si>
    <t>https://www.semanticscholar.org/paper/The-Impact-of-Verapamil-on-Catecholamine-Liu/29f7b57a696f2ea64334602192c5905b26e74f6d</t>
  </si>
  <si>
    <t>A novel mutation in FKBP12.6 binding region of the human cardiac ryanodine receptor gene (R2401H) in a Japanese patient with catecholaminergic polymorphic ventricular tachycardia</t>
  </si>
  <si>
    <t>Aizawa, Y.</t>
  </si>
  <si>
    <t>10.1016/j.ijcard.2003.11.050</t>
  </si>
  <si>
    <t>https://pubmed.ncbi.nlm.nih.gov/15749021</t>
  </si>
  <si>
    <t>https://doi.org/10.1016/j.ijcard.2003.11.050</t>
  </si>
  <si>
    <t>A novel mutation (Arg169Gln) of the cardiac ryanodine receptor gene causing exercise-induced bidirectional ventricular tachycardia</t>
  </si>
  <si>
    <t>Hsueh, C.H.</t>
  </si>
  <si>
    <t>10.1016/j.ijcard.2005.02.051</t>
  </si>
  <si>
    <t>https://pubmed.ncbi.nlm.nih.gov/16517285</t>
  </si>
  <si>
    <t>https://doi.org/10.1016/j.ijcard.2005.02.051</t>
  </si>
  <si>
    <t>The ryanodine receptor type 2 can also cause recessive catecholaminergic polymorphic ventricular tachycardia (CPVT)</t>
  </si>
  <si>
    <t>Noti, F.</t>
  </si>
  <si>
    <t>https://www.embase.com/records?id=L626737828</t>
  </si>
  <si>
    <t>A novel RyR2 mutation in a 2-year-old baby presenting with atrial fibrillation, atrial flutter, and atrial ectopic tachycardia</t>
  </si>
  <si>
    <t>Di Pino, A.</t>
  </si>
  <si>
    <t>10.1016/j.hrthm.2014.04.037</t>
  </si>
  <si>
    <t>https://pubmed.ncbi.nlm.nih.gov/24793461</t>
  </si>
  <si>
    <t>https://doi.org/10.1016/j.hrthm.2014.04.037</t>
  </si>
  <si>
    <t>A Novel Ryanodine Receptor Mutation Linked to Human Hypertrophic Cardiomyopathy</t>
  </si>
  <si>
    <t>Alvarado, F.</t>
  </si>
  <si>
    <t>10.1161/circ.128.suppl_22.A16239</t>
  </si>
  <si>
    <t>https://www.ahajournals.org/doi/10.1161/circ.128.suppl_22.A16239</t>
  </si>
  <si>
    <t>Catecholaminergic polymorphic ventricular tachycardia and left ventricular noncompaction cardiomyopathy: a case report and review of the literature</t>
  </si>
  <si>
    <t>Tavera, M.C.</t>
  </si>
  <si>
    <t>10.1017/S1047951112000509</t>
  </si>
  <si>
    <t>https://doi.org/10.1017/S1047951112000509</t>
  </si>
  <si>
    <t>Targeted Sequencing identified de novo RYR2 mutation cause catecholaminergic polymorphic ventricular tachycardia</t>
  </si>
  <si>
    <t>Wang, D</t>
  </si>
  <si>
    <t>10.1093/ehjci/eux158.209</t>
  </si>
  <si>
    <t>https://doi.org/10.1093/ehjci/eux158.209</t>
  </si>
  <si>
    <t>An RyR2 mutation found in a family with a short-coupled variant of torsade de pointes</t>
  </si>
  <si>
    <t>Kimura, M</t>
  </si>
  <si>
    <t>10.1016/j.ijcard.2016.11.052</t>
  </si>
  <si>
    <t>https://pubmed.ncbi.nlm.nih.gov/27839804</t>
  </si>
  <si>
    <t>https://doi.org/10.1016/j.ijcard.2016.11.052</t>
  </si>
  <si>
    <t>Flipping syncope: the case of an adolescent athlete with syncopal episodes ultimately diagnosed with catecholaminergic polymorphic ventricular tachycardia</t>
  </si>
  <si>
    <t>Kramer, CC</t>
  </si>
  <si>
    <t>10.1002/ccr3.2854</t>
  </si>
  <si>
    <t>https://pubmed.ncbi.nlm.nih.gov/32884764</t>
  </si>
  <si>
    <t>https://doi.org/10.1002/ccr3.2854</t>
  </si>
  <si>
    <t>Cardiac sympathectomy in a young woman with catecholaminergic polymorphic ventricular tachycardia and an implantable cardioverter defibrillator</t>
  </si>
  <si>
    <t>Makanjee, B.</t>
  </si>
  <si>
    <t>10.1016/j.hrthm.2009.03.035</t>
  </si>
  <si>
    <t>https://www.embase.com/records?id=L70392625</t>
  </si>
  <si>
    <t>https://doi.org/10.1016/j.hrthm.2009.03.035</t>
  </si>
  <si>
    <t>Catecholaminergic polymorphic ventricular tachycardia, pregnancy and teenager: are they compatible?</t>
  </si>
  <si>
    <t>Friday, K.P.</t>
  </si>
  <si>
    <t>10.1007/s00246-015-1232-3</t>
  </si>
  <si>
    <t>https://pubmed.ncbi.nlm.nih.gov/26278400</t>
  </si>
  <si>
    <t>https://doi.org/10.1007/s00246-015-1232-3</t>
  </si>
  <si>
    <t>Novel ryanodine receptor 2 mutation associated with a severe phenotype of catecholaminergic polymorphic ventricular tachycardia</t>
  </si>
  <si>
    <t>LaPage, MJ</t>
  </si>
  <si>
    <t>10.1016/j.jpeds.2012.04.013</t>
  </si>
  <si>
    <t>https://pubmed.ncbi.nlm.nih.gov/22608700</t>
  </si>
  <si>
    <t>https://doi.org/10.1016/j.jpeds.2012.04.013</t>
  </si>
  <si>
    <t>Propafenone prevents exercise-induced VT and ICD shocks in a patient with catecholaminergic polymorphic ventricular tachycardia refractory to standard drug therapy and left stellate ganglionectomy</t>
  </si>
  <si>
    <t>Hasdemir, C</t>
  </si>
  <si>
    <t>10.1016/j.hrthm.2010.03.032</t>
  </si>
  <si>
    <t>https://www.embase.com/records?id=L70121572</t>
  </si>
  <si>
    <t>https://doi.org/10.1016/j.hrthm.2010.03.032</t>
  </si>
  <si>
    <t>Prominent QTc prolongation in a patient with a rare variant in the cardiac ryanodine receptor gene</t>
  </si>
  <si>
    <t>Taniguchi, Y.</t>
  </si>
  <si>
    <t>10.1007/s00380-016-0869-z</t>
  </si>
  <si>
    <t>https://pubmed.ncbi.nlm.nih.gov/27401738</t>
  </si>
  <si>
    <t>https://doi.org/10.1007/s00380-016-0869-z</t>
  </si>
  <si>
    <t>A novel cardiac ryanodine receptor gene (RyR2) mutation in an athlete with aborted sudden cardiac death: a case of adult-onset catecholaminergic polymorphic ventricular tachycardia</t>
  </si>
  <si>
    <t>Arakawa, J.</t>
  </si>
  <si>
    <t>10.1007/s00380-014-0555-y</t>
  </si>
  <si>
    <t>https://pubmed.ncbi.nlm.nih.gov/25092222</t>
  </si>
  <si>
    <t>https://doi.org/10.1007/s00380-014-0555-y</t>
  </si>
  <si>
    <t>Cardiac sympathetic innervation in a patient with catecholaminergic polymorphic ventricular tachycardia</t>
  </si>
  <si>
    <t>Paul, M.</t>
  </si>
  <si>
    <t>10.1016/j.hrthm.2013.10.037</t>
  </si>
  <si>
    <t>https://pubmed.ncbi.nlm.nih.gov/24157531</t>
  </si>
  <si>
    <t>https://doi.org/10.1016/j.hrthm.2013.10.037</t>
  </si>
  <si>
    <t>Catecholaminergic polymorphic ventricular tachycardia found in an adolescent after a methylenedioxymethamphetamine and marijuana-induced cardiac arrest</t>
  </si>
  <si>
    <t>Diffley, M.</t>
  </si>
  <si>
    <t>10.1097/CCM.0b013e318250a870</t>
  </si>
  <si>
    <t>https://pubmed.ncbi.nlm.nih.gov/22584762</t>
  </si>
  <si>
    <t>https://doi.org/10.1097/CCM.0b013e318250a870</t>
  </si>
  <si>
    <t>Short-coupled polymorphic ventricular tachycardia at rest linked to a novel ryanodine receptor (RyR2) mutation: Leaky RyR2 channels under non-stress conditions</t>
  </si>
  <si>
    <t>Cheung, JW</t>
  </si>
  <si>
    <t>10.1016/j.ijcard.2014.11.119</t>
  </si>
  <si>
    <t>https://pubmed.ncbi.nlm.nih.gov/25463374</t>
  </si>
  <si>
    <t>https://doi.org/10.1016/j.ijcard.2014.11.119</t>
  </si>
  <si>
    <t>Familial short-coupled torsade de pointes linked to a novel ryanodine receptor (RYR2) mutation</t>
  </si>
  <si>
    <t>Cheung, J.W.</t>
  </si>
  <si>
    <t>https://www.embase.com/records?id=L71067037</t>
  </si>
  <si>
    <t>Catecholaminergic polymorphic ventricular tachycardia and QT prolongation in a patient with a rare variant in the cardiac ryanodine receptor gene</t>
  </si>
  <si>
    <t>Matsuo, K.</t>
  </si>
  <si>
    <t>10.1002/joa3.12280</t>
  </si>
  <si>
    <t>https://www.embase.com/records?id=L631901696</t>
  </si>
  <si>
    <t>https://doi.org/10.1002/joa3.12280</t>
  </si>
  <si>
    <t>Cardiac ryanodine receptor gene (hRyR2) mutation underlying catecholaminergic polymorphic ventricular tachycardia in a Chinese adolescent presenting with sudden cardiac arrest and cardiac syncope</t>
  </si>
  <si>
    <t>Mok, N.</t>
  </si>
  <si>
    <t>https://pubmed.ncbi.nlm.nih.gov/17199967</t>
  </si>
  <si>
    <t>Catecholaminergic polymorphic ventricular tachycardia due to de novo RyR2 mutation: recreational cycling as a trigger of lethal arrhythmia</t>
  </si>
  <si>
    <t>Gallegos-Cortez, A.</t>
  </si>
  <si>
    <t>10.5114/aoms.2019.89691</t>
  </si>
  <si>
    <t>https://pubmed.ncbi.nlm.nih.gov/32190159</t>
  </si>
  <si>
    <t>https://doi.org/10.5114/aoms.2019.89691</t>
  </si>
  <si>
    <t>Sudden death in a young man with catecholaminergic polymorphic ventricular tachycardia and paroxysmal atrial fibrillation</t>
  </si>
  <si>
    <t>Pizzale, S.</t>
  </si>
  <si>
    <t>10.1111/j.1540-8167.2008.01211.x</t>
  </si>
  <si>
    <t>https://pubmed.ncbi.nlm.nih.gov/18554199</t>
  </si>
  <si>
    <t>https://doi.org/10.1111/j.1540-8167.2008.01211.x</t>
  </si>
  <si>
    <t>Deadly proposal: a case of catecholaminergic polymorphic ventricular tachycardia.</t>
  </si>
  <si>
    <t>Heiner JD</t>
  </si>
  <si>
    <t>10.1097/PEC.0b013e3182360606</t>
  </si>
  <si>
    <t>https://pubmed.ncbi.nlm.nih.gov/22068070</t>
  </si>
  <si>
    <t>https://doi.org/10.1097/PEC.0b013e3182360606</t>
  </si>
  <si>
    <t>A rare cause of sudden cardiac arrest: Catecholaminergic polymorphic ventricular tachycardia</t>
  </si>
  <si>
    <t>Atik, S.U.</t>
  </si>
  <si>
    <t>10.5152/TurkPediatriArs.2017.3899</t>
  </si>
  <si>
    <t>https://pubmed.ncbi.nlm.nih.gov/30116135</t>
  </si>
  <si>
    <t>https://doi.org/10.5152/TurkPediatriArs.2017.3899</t>
  </si>
  <si>
    <t>Sudden unexpected cardiac death and postmortem identification of a novel RYR2 gene mutation</t>
  </si>
  <si>
    <t>Mahlke, N</t>
  </si>
  <si>
    <t>10.1007/s00414-019-02117-x</t>
  </si>
  <si>
    <t>https://pubmed.ncbi.nlm.nih.gov/31289932</t>
  </si>
  <si>
    <t>https://doi.org/10.1007/s00414-019-02117-x</t>
  </si>
  <si>
    <t>Sudden death due to catecholaminergic polymorphic ventricular tachycardia following negative stress-test outcome: genetics and clinical implications</t>
  </si>
  <si>
    <t>D'Ovidio</t>
  </si>
  <si>
    <t>10.1007/s12024-017-9862-9</t>
  </si>
  <si>
    <t>https://pubmed.ncbi.nlm.nih.gov/28405885</t>
  </si>
  <si>
    <t>https://doi.org/10.1007/s12024-017-9862-9</t>
  </si>
  <si>
    <t>Description of a novel RyR2 mutation in a juvenile patient with symptomatic catecholaminergic polymorphic ventricular tachycardia in sleep and during exercise: a case report</t>
  </si>
  <si>
    <t>Seidlmayer, LK</t>
  </si>
  <si>
    <t>10.1186/s13256-018-1825-6</t>
  </si>
  <si>
    <t>https://pubmed.ncbi.nlm.nih.gov/30296944</t>
  </si>
  <si>
    <t>https://doi.org/10.1186/s13256-018-1825-6</t>
  </si>
  <si>
    <t>CPVT triggered by influenza B in a child due to previously described point mutation in RyR2 gene</t>
  </si>
  <si>
    <t>Nathani, Y.</t>
  </si>
  <si>
    <t>10.1097/01.ccm.0000551016.20354.7f</t>
  </si>
  <si>
    <t>https://www.embase.com/records?id=L629629240</t>
  </si>
  <si>
    <t>https://doi.org/10.1097/01.ccm.0000551016.20354.7f</t>
  </si>
  <si>
    <t>A de novo heterozygous cardiac ryanodine receptor gene (RYR2) mutation in a catecholaminergic polymorphic ventricular tachycardia patient</t>
  </si>
  <si>
    <t>Hou, C.</t>
  </si>
  <si>
    <t>10.1016/j.genrep.2019.100439</t>
  </si>
  <si>
    <t>https://www.embase.com/records?id=L2002187294</t>
  </si>
  <si>
    <t>https://doi.org/10.1016/j.genrep.2019.100439</t>
  </si>
  <si>
    <t>Characterization of a novel mutation in the cardiac ryanodine receptor that results in catecholaminergic polymorphic ventricular tachycardia</t>
  </si>
  <si>
    <t>Jiang, D.</t>
  </si>
  <si>
    <t>10.4161/chan.4.4.12666</t>
  </si>
  <si>
    <t>https://pubmed.ncbi.nlm.nih.gov/20676041</t>
  </si>
  <si>
    <t>https://doi.org/10.4161/chan.4.4.12666</t>
  </si>
  <si>
    <t>Catecholaminergic polymorphic ventricular tachycardia.</t>
  </si>
  <si>
    <t>Refaat, M.</t>
  </si>
  <si>
    <t>10.1016/j.ccep.2015.10.035</t>
  </si>
  <si>
    <t>https://pubmed.ncbi.nlm.nih.gov/26920200</t>
  </si>
  <si>
    <t>https://doi.org/10.1016/j.ccep.2015.10.035</t>
  </si>
  <si>
    <t>High-dose flecainide with low-dose β-blocker therapy in catecholaminergic polymorphic ventricular tachycardia: A case report and review of the literature</t>
  </si>
  <si>
    <t>Steinfurt, J.</t>
  </si>
  <si>
    <t>10.1016/j.jccase.2014.08.009</t>
  </si>
  <si>
    <t>https://pubmed.ncbi.nlm.nih.gov/30546525</t>
  </si>
  <si>
    <t>https://doi.org/10.1016/j.jccase.2014.08.009</t>
  </si>
  <si>
    <t>Unique association of catecholaminergic polymorphic ventricular tachycardia and neurofibromatosis</t>
  </si>
  <si>
    <t>Ghadban, R</t>
  </si>
  <si>
    <t>https://www.embase.com/records?id=L622470582</t>
  </si>
  <si>
    <t>NM</t>
  </si>
  <si>
    <t>Ryanodine receptor 2 (RYR2) mutation: A potentially novel neurocardiac calcium channelopathy manifesting as primary generalised epilepsy</t>
  </si>
  <si>
    <t>Yap, SM</t>
  </si>
  <si>
    <t>10.1016/j.seizure.2019.02.017</t>
  </si>
  <si>
    <t>https://pubmed.ncbi.nlm.nih.gov/30849713</t>
  </si>
  <si>
    <t>https://doi.org/10.1016/j.seizure.2019.02.017</t>
  </si>
  <si>
    <t>Catecholaminergic polymorphic ventricular tachycardia with ventricular dysfunction: a new reality?</t>
  </si>
  <si>
    <t xml:space="preserve">Duarte, T. </t>
  </si>
  <si>
    <t>10.1002/ejhf.1197</t>
  </si>
  <si>
    <t>https://doi.org/10.1002/ejhf.1197</t>
  </si>
  <si>
    <t>Catecholaminergic polymorphic ventricular tachycardia with QT prolongation</t>
  </si>
  <si>
    <t>Tanaka, Y.</t>
  </si>
  <si>
    <t>10.1111/pace.12735</t>
  </si>
  <si>
    <t>https://pubmed.ncbi.nlm.nih.gov/26256814</t>
  </si>
  <si>
    <t>https://doi.org/10.1111/pace.12735</t>
  </si>
  <si>
    <t>Complex atrial arrhythmias as first manifestation of catecholaminergic polymorphic ventricular tachycardia: an unusual course in a patient with a new mutation in ryanodine receptor type 2 gene</t>
  </si>
  <si>
    <t>Lawrenz, W.</t>
  </si>
  <si>
    <t>10.1017/S1047951113001091</t>
  </si>
  <si>
    <t>https://pubmed.ncbi.nlm.nih.gov/23985380</t>
  </si>
  <si>
    <t>https://doi.org/10.1017/S1047951113001091</t>
  </si>
  <si>
    <t>Catecholaminergic polymorphic ventricular tachycardia and peri-partum cardiomyopathy: a perfect sympathetic storm?</t>
  </si>
  <si>
    <t>Lugo, R.M.</t>
  </si>
  <si>
    <t>10.1016/S0735-1097(17)35688-7</t>
  </si>
  <si>
    <t>https://doi.org/10.1016/S0735-1097(17)35688-7</t>
  </si>
  <si>
    <t>Effects of flecainide therapy on inappropriate shocks and arrhythmias in catecholaminergic polymorphic ventricular tachycardia</t>
  </si>
  <si>
    <t>Jacquemart, C.</t>
  </si>
  <si>
    <t>10.1016/j.jelectrocard.2012.05.002</t>
  </si>
  <si>
    <t>https://pubmed.ncbi.nlm.nih.gov/22672791</t>
  </si>
  <si>
    <t>https://doi.org/10.1016/j.jelectrocard.2012.05.002</t>
  </si>
  <si>
    <t>Catecholaminergic polymorphic ventricular tachycardia in a child with Brugada pattern on ECG: One patient with two diseases?</t>
  </si>
  <si>
    <t>Janson, C.</t>
  </si>
  <si>
    <t>10.1016/j.hrthm.2014.07.010</t>
  </si>
  <si>
    <t>https://pubmed.ncbi.nlm.nih.gov/25016147</t>
  </si>
  <si>
    <t>https://doi.org/10.1016/j.hrthm.2014.07.010</t>
  </si>
  <si>
    <t>Choking-induced cardiac arrest unmasks a diagnosis of catecholaminergic polymorphic ventricular tachycardia</t>
  </si>
  <si>
    <t>Roston, T.M.</t>
  </si>
  <si>
    <t>10.1016/j.hrcr.2015.08.007</t>
  </si>
  <si>
    <t>https://pubmed.ncbi.nlm.nih.gov/28491614</t>
  </si>
  <si>
    <t>https://doi.org/10.1016/j.hrcr.2015.08.007</t>
  </si>
  <si>
    <t>Pathogenic mechanism of a catecholaminergic polymorphic ventricular tachycardia causing-mutation in cardiac calcium release channel RyR2</t>
  </si>
  <si>
    <t>Xiong, J.</t>
  </si>
  <si>
    <t>10.1016/j.yjmcc.2018.02.014</t>
  </si>
  <si>
    <t>https://pubmed.ncbi.nlm.nih.gov/29477366</t>
  </si>
  <si>
    <t>https://doi.org/10.1016/j.yjmcc.2018.02.014</t>
  </si>
  <si>
    <t>TES</t>
  </si>
  <si>
    <t>Array comparative genomic hybridization identifies a heterozygous deletion of exon 3 of the RyR2 gene</t>
  </si>
  <si>
    <t>Leong, I.</t>
  </si>
  <si>
    <t>10.3109/03009734.2015.1029101</t>
  </si>
  <si>
    <t>https://pubmed.ncbi.nlm.nih.gov/25835811</t>
  </si>
  <si>
    <t>https://doi.org/10.3109/03009734.2015.1029101</t>
  </si>
  <si>
    <t>A large deletion in RyR2 exon 3 is associated with nadolol and flecainide refractory catecholaminergic polymorphic ventricular tachycardia</t>
  </si>
  <si>
    <t>10.1111/pace.13668</t>
  </si>
  <si>
    <t>https://pubmed.ncbi.nlm.nih.gov/30912151</t>
  </si>
  <si>
    <t>https://doi.org/10.1111/pace.13668</t>
  </si>
  <si>
    <t>Exon 3 deletion of ryanodine receptor causes left ventricular noncompaction, worsening catecholaminergic polymorphic ventricular tachycardia, and sudden cardia arrest</t>
  </si>
  <si>
    <t>Campbell, M.</t>
  </si>
  <si>
    <t>10.1002/ajmg.a.37140</t>
  </si>
  <si>
    <t>https://pubmed.ncbi.nlm.nih.gov/26018045</t>
  </si>
  <si>
    <t>https://doi.org/10.1002/ajmg.a.37140</t>
  </si>
  <si>
    <t>A delayed diagnosis of catecholaminergic polymorphic ventricular tachycardia with a mutant of RYR2 at c.7508T&gt;G for 6 years in a 9-year-old child</t>
  </si>
  <si>
    <t xml:space="preserve">Duan, H. </t>
  </si>
  <si>
    <t>10.1097/MD.0000000000010368</t>
  </si>
  <si>
    <t>https://pubmed.ncbi.nlm.nih.gov/29668588</t>
  </si>
  <si>
    <t>https://doi.org/10.1097/MD.0000000000010368</t>
  </si>
  <si>
    <t>Primary Electrical Disorder or Primary Cardiomyopathy? A Case with a Unique Association of Noncompaction CardioMyopathy and Cathecolaminergic Polymorphic Ventricular Tachycardia Caused by Ryanodine Receptor mutation</t>
  </si>
  <si>
    <t>Szentpali, Z</t>
  </si>
  <si>
    <t>10.1161/CIRCULATIONAHA.112.144949</t>
  </si>
  <si>
    <t>https://pubmed.ncbi.nlm.nih.gov/23479668</t>
  </si>
  <si>
    <t>https://doi.org/10.1161/CIRCULATIONAHA.112.144949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</si>
</sst>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"/>
  <sheetViews>
    <sheetView tabSelected="1" workbookViewId="0">
      <pane ySplit="1" topLeftCell="A2" activePane="bottomLeft" state="frozen"/>
      <selection pane="bottomLeft" activeCell="H10" sqref="H10"/>
    </sheetView>
  </sheetViews>
  <sheetFormatPr defaultRowHeight="15"/>
  <cols>
    <col min="1" max="8" width="15.140625" customWidth="1"/>
    <col min="9" max="16" width="18.28515625" customWidth="1"/>
  </cols>
  <sheetData>
    <row r="1" spans="1:16" ht="76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9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b">
        <f>IF(H2=1,TRUE,FALSE)</f>
        <v>0</v>
      </c>
      <c r="H2">
        <v>5</v>
      </c>
      <c r="I2" s="1" t="s">
        <v>21</v>
      </c>
      <c r="J2" s="1" t="s">
        <v>22</v>
      </c>
      <c r="K2" s="1" t="s">
        <v>21</v>
      </c>
      <c r="L2" s="1" t="s">
        <v>21</v>
      </c>
      <c r="M2" s="1" t="s">
        <v>23</v>
      </c>
      <c r="N2" s="1" t="s">
        <v>23</v>
      </c>
      <c r="O2" s="1" t="s">
        <v>23</v>
      </c>
      <c r="P2" s="1" t="s">
        <v>21</v>
      </c>
    </row>
    <row r="3" spans="1:16">
      <c r="A3">
        <v>48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b">
        <f t="shared" ref="G3:G66" si="0">IF(H3=1,TRUE,FALSE)</f>
        <v>0</v>
      </c>
      <c r="H3">
        <v>5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21</v>
      </c>
      <c r="N3" s="1" t="s">
        <v>21</v>
      </c>
      <c r="O3" s="1" t="s">
        <v>21</v>
      </c>
      <c r="P3" s="1" t="s">
        <v>21</v>
      </c>
    </row>
    <row r="4" spans="1:16">
      <c r="A4">
        <v>70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b">
        <f t="shared" si="0"/>
        <v>0</v>
      </c>
      <c r="H4">
        <v>3</v>
      </c>
      <c r="I4" s="1" t="s">
        <v>21</v>
      </c>
      <c r="J4" s="1" t="s">
        <v>22</v>
      </c>
      <c r="K4" s="1" t="s">
        <v>21</v>
      </c>
      <c r="L4" s="1" t="s">
        <v>21</v>
      </c>
      <c r="M4" s="1" t="s">
        <v>23</v>
      </c>
      <c r="N4" s="1" t="s">
        <v>23</v>
      </c>
      <c r="O4" s="1" t="s">
        <v>23</v>
      </c>
      <c r="P4" s="1" t="s">
        <v>21</v>
      </c>
    </row>
    <row r="5" spans="1:16">
      <c r="A5">
        <v>82</v>
      </c>
      <c r="B5" t="s">
        <v>34</v>
      </c>
      <c r="C5" t="s">
        <v>35</v>
      </c>
      <c r="D5" t="s">
        <v>36</v>
      </c>
      <c r="E5" t="s">
        <v>37</v>
      </c>
      <c r="F5" t="s">
        <v>36</v>
      </c>
      <c r="G5" t="b">
        <f t="shared" si="0"/>
        <v>0</v>
      </c>
      <c r="H5">
        <v>5</v>
      </c>
      <c r="I5" s="1" t="s">
        <v>21</v>
      </c>
      <c r="J5" s="1" t="s">
        <v>22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22</v>
      </c>
      <c r="P5" s="1" t="s">
        <v>21</v>
      </c>
    </row>
    <row r="6" spans="1:16">
      <c r="A6" s="3">
        <v>90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t="b">
        <f t="shared" si="0"/>
        <v>0</v>
      </c>
      <c r="H6">
        <v>5</v>
      </c>
      <c r="I6" s="1" t="s">
        <v>21</v>
      </c>
      <c r="J6" s="1" t="s">
        <v>22</v>
      </c>
      <c r="K6" s="1" t="s">
        <v>21</v>
      </c>
      <c r="L6" s="1" t="s">
        <v>21</v>
      </c>
      <c r="M6" s="1" t="s">
        <v>21</v>
      </c>
      <c r="N6" s="1" t="s">
        <v>21</v>
      </c>
      <c r="O6" s="1" t="s">
        <v>21</v>
      </c>
      <c r="P6" s="1" t="s">
        <v>21</v>
      </c>
    </row>
    <row r="7" spans="1:16">
      <c r="A7">
        <v>96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b">
        <f t="shared" si="0"/>
        <v>0</v>
      </c>
      <c r="H7">
        <v>5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21</v>
      </c>
      <c r="O7" s="1" t="s">
        <v>22</v>
      </c>
      <c r="P7" s="1" t="s">
        <v>21</v>
      </c>
    </row>
    <row r="8" spans="1:16">
      <c r="A8">
        <v>100</v>
      </c>
      <c r="B8" t="s">
        <v>48</v>
      </c>
      <c r="C8" t="s">
        <v>49</v>
      </c>
      <c r="D8" t="s">
        <v>36</v>
      </c>
      <c r="E8" t="s">
        <v>50</v>
      </c>
      <c r="F8" t="s">
        <v>36</v>
      </c>
      <c r="G8" t="b">
        <f t="shared" si="0"/>
        <v>0</v>
      </c>
      <c r="H8">
        <v>5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21</v>
      </c>
      <c r="O8" s="1" t="s">
        <v>22</v>
      </c>
      <c r="P8" s="1" t="s">
        <v>21</v>
      </c>
    </row>
    <row r="9" spans="1:16">
      <c r="A9">
        <v>104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b">
        <f t="shared" si="0"/>
        <v>0</v>
      </c>
      <c r="H9">
        <v>5</v>
      </c>
      <c r="I9" s="1" t="s">
        <v>21</v>
      </c>
      <c r="J9" s="1" t="s">
        <v>22</v>
      </c>
      <c r="K9" s="1" t="s">
        <v>21</v>
      </c>
      <c r="L9" s="1" t="s">
        <v>21</v>
      </c>
      <c r="M9" s="1" t="s">
        <v>21</v>
      </c>
      <c r="N9" s="1" t="s">
        <v>21</v>
      </c>
      <c r="O9" s="1" t="s">
        <v>21</v>
      </c>
      <c r="P9" s="1" t="s">
        <v>21</v>
      </c>
    </row>
    <row r="10" spans="1:16">
      <c r="A10">
        <v>111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b">
        <f t="shared" si="0"/>
        <v>0</v>
      </c>
      <c r="H10">
        <v>5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21</v>
      </c>
      <c r="O10" s="1" t="s">
        <v>21</v>
      </c>
      <c r="P10" s="1" t="s">
        <v>21</v>
      </c>
    </row>
    <row r="11" spans="1:16">
      <c r="A11">
        <v>124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b">
        <f t="shared" si="0"/>
        <v>1</v>
      </c>
      <c r="H11">
        <v>1</v>
      </c>
      <c r="I11" s="1" t="s">
        <v>22</v>
      </c>
      <c r="J11" s="1" t="s">
        <v>22</v>
      </c>
      <c r="K11" s="1" t="s">
        <v>21</v>
      </c>
      <c r="L11" s="1" t="s">
        <v>22</v>
      </c>
      <c r="M11" s="1" t="s">
        <v>21</v>
      </c>
      <c r="N11" s="1" t="s">
        <v>22</v>
      </c>
      <c r="O11" s="1" t="s">
        <v>22</v>
      </c>
      <c r="P11" s="1" t="s">
        <v>22</v>
      </c>
    </row>
    <row r="12" spans="1:16">
      <c r="A12">
        <v>125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b">
        <f t="shared" si="0"/>
        <v>1</v>
      </c>
      <c r="H12">
        <v>1</v>
      </c>
      <c r="I12" s="1" t="s">
        <v>22</v>
      </c>
      <c r="J12" s="1" t="s">
        <v>22</v>
      </c>
      <c r="K12" s="1" t="s">
        <v>21</v>
      </c>
      <c r="L12" s="1" t="s">
        <v>21</v>
      </c>
      <c r="M12" s="1" t="s">
        <v>21</v>
      </c>
      <c r="N12" s="1" t="s">
        <v>21</v>
      </c>
      <c r="O12" s="1" t="s">
        <v>21</v>
      </c>
      <c r="P12" s="1" t="s">
        <v>22</v>
      </c>
    </row>
    <row r="13" spans="1:16">
      <c r="A13" s="3">
        <v>129</v>
      </c>
      <c r="B13" s="3" t="s">
        <v>71</v>
      </c>
      <c r="C13" s="3" t="s">
        <v>72</v>
      </c>
      <c r="D13" s="3" t="s">
        <v>73</v>
      </c>
      <c r="E13" s="3" t="s">
        <v>36</v>
      </c>
      <c r="F13" s="3" t="s">
        <v>74</v>
      </c>
      <c r="G13" t="b">
        <f t="shared" si="0"/>
        <v>1</v>
      </c>
      <c r="H13">
        <v>1</v>
      </c>
      <c r="I13" s="1" t="s">
        <v>22</v>
      </c>
      <c r="J13" s="1" t="s">
        <v>22</v>
      </c>
      <c r="K13" s="1" t="s">
        <v>21</v>
      </c>
      <c r="L13" s="1" t="s">
        <v>22</v>
      </c>
      <c r="M13" s="1" t="s">
        <v>22</v>
      </c>
      <c r="N13" s="1" t="s">
        <v>22</v>
      </c>
      <c r="O13" s="1" t="s">
        <v>22</v>
      </c>
      <c r="P13" s="1" t="s">
        <v>22</v>
      </c>
    </row>
    <row r="14" spans="1:16">
      <c r="A14">
        <v>136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b">
        <f t="shared" si="0"/>
        <v>0</v>
      </c>
      <c r="H14">
        <v>5</v>
      </c>
      <c r="I14" s="1" t="s">
        <v>22</v>
      </c>
      <c r="J14" s="1" t="s">
        <v>22</v>
      </c>
      <c r="K14" s="1" t="s">
        <v>21</v>
      </c>
      <c r="L14" s="1" t="s">
        <v>21</v>
      </c>
      <c r="M14" s="1" t="s">
        <v>21</v>
      </c>
      <c r="N14" s="1" t="s">
        <v>21</v>
      </c>
      <c r="O14" s="1" t="s">
        <v>21</v>
      </c>
      <c r="P14" s="1" t="s">
        <v>21</v>
      </c>
    </row>
    <row r="15" spans="1:16">
      <c r="A15">
        <v>137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b">
        <f t="shared" si="0"/>
        <v>0</v>
      </c>
      <c r="H15">
        <v>5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21</v>
      </c>
      <c r="O15" s="1" t="s">
        <v>21</v>
      </c>
      <c r="P15" s="1" t="s">
        <v>21</v>
      </c>
    </row>
    <row r="16" spans="1:16">
      <c r="A16">
        <v>184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  <c r="G16" t="b">
        <f t="shared" si="0"/>
        <v>0</v>
      </c>
      <c r="H16">
        <v>5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21</v>
      </c>
      <c r="O16" s="1" t="s">
        <v>21</v>
      </c>
      <c r="P16" s="1" t="s">
        <v>21</v>
      </c>
    </row>
    <row r="17" spans="1:16">
      <c r="A17">
        <v>194</v>
      </c>
      <c r="B17" s="3" t="s">
        <v>90</v>
      </c>
      <c r="C17" s="3" t="s">
        <v>91</v>
      </c>
      <c r="D17" s="3" t="s">
        <v>92</v>
      </c>
      <c r="E17" t="s">
        <v>93</v>
      </c>
      <c r="F17" t="s">
        <v>94</v>
      </c>
      <c r="G17" t="b">
        <f t="shared" si="0"/>
        <v>1</v>
      </c>
      <c r="H17">
        <v>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21</v>
      </c>
      <c r="O17" s="1" t="s">
        <v>21</v>
      </c>
      <c r="P17" s="1" t="s">
        <v>21</v>
      </c>
    </row>
    <row r="18" spans="1:16">
      <c r="A18">
        <v>238</v>
      </c>
      <c r="B18" t="s">
        <v>95</v>
      </c>
      <c r="C18" t="s">
        <v>96</v>
      </c>
      <c r="D18" t="s">
        <v>97</v>
      </c>
      <c r="E18" t="s">
        <v>36</v>
      </c>
      <c r="F18" t="s">
        <v>98</v>
      </c>
      <c r="G18" t="b">
        <f t="shared" si="0"/>
        <v>0</v>
      </c>
      <c r="H18">
        <v>5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22</v>
      </c>
      <c r="N18" s="1" t="s">
        <v>21</v>
      </c>
      <c r="O18" s="1" t="s">
        <v>21</v>
      </c>
      <c r="P18" s="1" t="s">
        <v>21</v>
      </c>
    </row>
    <row r="19" spans="1:16">
      <c r="A19">
        <v>262</v>
      </c>
      <c r="B19" t="s">
        <v>99</v>
      </c>
      <c r="C19" t="s">
        <v>100</v>
      </c>
      <c r="D19" t="s">
        <v>101</v>
      </c>
      <c r="E19" t="s">
        <v>36</v>
      </c>
      <c r="F19" t="s">
        <v>102</v>
      </c>
      <c r="G19" t="b">
        <f t="shared" si="0"/>
        <v>0</v>
      </c>
      <c r="H19">
        <v>5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22</v>
      </c>
      <c r="N19" s="1" t="s">
        <v>21</v>
      </c>
      <c r="O19" s="1" t="s">
        <v>21</v>
      </c>
      <c r="P19" s="1" t="s">
        <v>21</v>
      </c>
    </row>
    <row r="20" spans="1:16">
      <c r="A20">
        <v>281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b">
        <f t="shared" si="0"/>
        <v>0</v>
      </c>
      <c r="H20">
        <v>5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22</v>
      </c>
      <c r="P20" s="1" t="s">
        <v>21</v>
      </c>
    </row>
    <row r="21" spans="1:16">
      <c r="A21" s="3">
        <v>279</v>
      </c>
      <c r="B21" s="3" t="s">
        <v>108</v>
      </c>
      <c r="C21" s="3" t="s">
        <v>109</v>
      </c>
      <c r="D21" s="3" t="s">
        <v>110</v>
      </c>
      <c r="E21" s="3" t="s">
        <v>36</v>
      </c>
      <c r="F21" s="3" t="s">
        <v>111</v>
      </c>
      <c r="G21" t="b">
        <f t="shared" si="0"/>
        <v>1</v>
      </c>
      <c r="H21">
        <v>1</v>
      </c>
      <c r="I21" s="1" t="s">
        <v>22</v>
      </c>
      <c r="J21" s="1" t="s">
        <v>22</v>
      </c>
      <c r="K21" s="1" t="s">
        <v>21</v>
      </c>
      <c r="L21" s="1" t="s">
        <v>22</v>
      </c>
      <c r="M21" s="1" t="s">
        <v>22</v>
      </c>
      <c r="N21" s="1" t="s">
        <v>21</v>
      </c>
      <c r="O21" s="1" t="s">
        <v>22</v>
      </c>
      <c r="P21" s="1" t="s">
        <v>21</v>
      </c>
    </row>
    <row r="22" spans="1:16">
      <c r="A22">
        <v>288</v>
      </c>
      <c r="B22" t="s">
        <v>112</v>
      </c>
      <c r="C22" t="s">
        <v>113</v>
      </c>
      <c r="D22" t="s">
        <v>114</v>
      </c>
      <c r="E22" t="s">
        <v>115</v>
      </c>
      <c r="F22" t="s">
        <v>116</v>
      </c>
      <c r="G22" t="b">
        <f t="shared" si="0"/>
        <v>0</v>
      </c>
      <c r="H22">
        <v>5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21</v>
      </c>
      <c r="O22" s="1" t="s">
        <v>22</v>
      </c>
      <c r="P22" s="1" t="s">
        <v>21</v>
      </c>
    </row>
    <row r="23" spans="1:16">
      <c r="A23">
        <v>290</v>
      </c>
      <c r="B23" t="s">
        <v>117</v>
      </c>
      <c r="C23" t="s">
        <v>118</v>
      </c>
      <c r="D23" t="s">
        <v>119</v>
      </c>
      <c r="E23" t="s">
        <v>120</v>
      </c>
      <c r="F23" t="s">
        <v>121</v>
      </c>
      <c r="G23" t="b">
        <f t="shared" si="0"/>
        <v>0</v>
      </c>
      <c r="H23">
        <v>5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  <c r="O23" s="1" t="s">
        <v>21</v>
      </c>
      <c r="P23" s="1" t="s">
        <v>21</v>
      </c>
    </row>
    <row r="24" spans="1:16">
      <c r="A24">
        <v>306</v>
      </c>
      <c r="B24" t="s">
        <v>122</v>
      </c>
      <c r="C24" t="s">
        <v>123</v>
      </c>
      <c r="D24" t="s">
        <v>124</v>
      </c>
      <c r="E24" t="s">
        <v>125</v>
      </c>
      <c r="F24" t="s">
        <v>126</v>
      </c>
      <c r="G24" t="b">
        <f t="shared" si="0"/>
        <v>0</v>
      </c>
      <c r="H24">
        <v>5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" t="s">
        <v>21</v>
      </c>
      <c r="P24" s="1" t="s">
        <v>21</v>
      </c>
    </row>
    <row r="25" spans="1:16">
      <c r="A25">
        <v>339</v>
      </c>
      <c r="B25" t="s">
        <v>127</v>
      </c>
      <c r="C25" t="s">
        <v>128</v>
      </c>
      <c r="D25" t="s">
        <v>129</v>
      </c>
      <c r="E25" t="s">
        <v>36</v>
      </c>
      <c r="F25" t="s">
        <v>130</v>
      </c>
      <c r="G25" t="b">
        <f t="shared" si="0"/>
        <v>0</v>
      </c>
      <c r="H25">
        <v>2</v>
      </c>
      <c r="I25" s="1" t="s">
        <v>22</v>
      </c>
      <c r="J25" s="1" t="s">
        <v>21</v>
      </c>
      <c r="K25" s="1" t="s">
        <v>21</v>
      </c>
      <c r="L25" s="1" t="s">
        <v>22</v>
      </c>
      <c r="M25" s="1" t="s">
        <v>21</v>
      </c>
      <c r="N25" s="1" t="s">
        <v>22</v>
      </c>
      <c r="O25" s="1" t="s">
        <v>22</v>
      </c>
      <c r="P25" s="1" t="s">
        <v>21</v>
      </c>
    </row>
    <row r="26" spans="1:16">
      <c r="A26">
        <v>349</v>
      </c>
      <c r="B26" t="s">
        <v>131</v>
      </c>
      <c r="C26" t="s">
        <v>132</v>
      </c>
      <c r="D26" t="s">
        <v>133</v>
      </c>
      <c r="E26" t="s">
        <v>134</v>
      </c>
      <c r="F26" t="s">
        <v>135</v>
      </c>
      <c r="G26" t="b">
        <f t="shared" si="0"/>
        <v>0</v>
      </c>
      <c r="H26">
        <v>5</v>
      </c>
      <c r="I26" s="1" t="s">
        <v>21</v>
      </c>
      <c r="J26" s="1" t="s">
        <v>21</v>
      </c>
      <c r="K26" s="1" t="s">
        <v>21</v>
      </c>
      <c r="L26" s="1" t="s">
        <v>21</v>
      </c>
      <c r="M26" s="1" t="s">
        <v>21</v>
      </c>
      <c r="N26" s="1" t="s">
        <v>21</v>
      </c>
      <c r="O26" s="1" t="s">
        <v>21</v>
      </c>
      <c r="P26" s="1" t="s">
        <v>21</v>
      </c>
    </row>
    <row r="27" spans="1:16">
      <c r="A27">
        <v>376</v>
      </c>
      <c r="B27" t="s">
        <v>136</v>
      </c>
      <c r="C27" t="s">
        <v>137</v>
      </c>
      <c r="D27" t="s">
        <v>138</v>
      </c>
      <c r="E27" t="s">
        <v>36</v>
      </c>
      <c r="F27" t="s">
        <v>139</v>
      </c>
      <c r="G27" t="b">
        <f t="shared" si="0"/>
        <v>1</v>
      </c>
      <c r="H27">
        <v>1</v>
      </c>
      <c r="I27" s="1" t="s">
        <v>21</v>
      </c>
      <c r="J27" s="1" t="s">
        <v>21</v>
      </c>
      <c r="K27" s="1" t="s">
        <v>21</v>
      </c>
      <c r="L27" s="1" t="s">
        <v>21</v>
      </c>
      <c r="M27" s="1" t="s">
        <v>22</v>
      </c>
      <c r="N27" s="1" t="s">
        <v>22</v>
      </c>
      <c r="O27" s="1" t="s">
        <v>22</v>
      </c>
      <c r="P27" s="1" t="s">
        <v>21</v>
      </c>
    </row>
    <row r="28" spans="1:16">
      <c r="A28">
        <v>379</v>
      </c>
      <c r="B28" t="s">
        <v>140</v>
      </c>
      <c r="C28" t="s">
        <v>141</v>
      </c>
      <c r="D28" t="s">
        <v>142</v>
      </c>
      <c r="E28" t="s">
        <v>143</v>
      </c>
      <c r="F28" t="s">
        <v>144</v>
      </c>
      <c r="G28" t="b">
        <f t="shared" si="0"/>
        <v>1</v>
      </c>
      <c r="H28">
        <v>1</v>
      </c>
      <c r="I28" s="1" t="s">
        <v>22</v>
      </c>
      <c r="J28" s="1" t="s">
        <v>22</v>
      </c>
      <c r="K28" s="1" t="s">
        <v>22</v>
      </c>
      <c r="L28" s="1" t="s">
        <v>21</v>
      </c>
      <c r="M28" s="1" t="s">
        <v>22</v>
      </c>
      <c r="N28" s="1" t="s">
        <v>22</v>
      </c>
      <c r="O28" s="1" t="s">
        <v>22</v>
      </c>
      <c r="P28" s="1" t="s">
        <v>21</v>
      </c>
    </row>
    <row r="29" spans="1:16">
      <c r="A29">
        <v>399</v>
      </c>
      <c r="B29" t="s">
        <v>145</v>
      </c>
      <c r="C29" t="s">
        <v>146</v>
      </c>
      <c r="D29" t="s">
        <v>147</v>
      </c>
      <c r="E29" t="s">
        <v>148</v>
      </c>
      <c r="F29" t="s">
        <v>149</v>
      </c>
      <c r="G29" t="b">
        <f t="shared" si="0"/>
        <v>0</v>
      </c>
      <c r="H29">
        <v>5</v>
      </c>
      <c r="I29" s="1" t="s">
        <v>21</v>
      </c>
      <c r="J29" s="1" t="s">
        <v>21</v>
      </c>
      <c r="K29" s="1" t="s">
        <v>21</v>
      </c>
      <c r="L29" s="1" t="s">
        <v>21</v>
      </c>
      <c r="M29" s="1" t="s">
        <v>22</v>
      </c>
      <c r="N29" s="1" t="s">
        <v>22</v>
      </c>
      <c r="O29" s="1" t="s">
        <v>21</v>
      </c>
      <c r="P29" s="1" t="s">
        <v>21</v>
      </c>
    </row>
    <row r="30" spans="1:16">
      <c r="A30">
        <v>407</v>
      </c>
      <c r="B30" t="s">
        <v>150</v>
      </c>
      <c r="C30" t="s">
        <v>151</v>
      </c>
      <c r="D30" t="s">
        <v>36</v>
      </c>
      <c r="E30" t="s">
        <v>152</v>
      </c>
      <c r="F30" t="s">
        <v>36</v>
      </c>
      <c r="G30" t="b">
        <f t="shared" si="0"/>
        <v>0</v>
      </c>
      <c r="H30">
        <v>5</v>
      </c>
      <c r="I30" s="1" t="s">
        <v>21</v>
      </c>
      <c r="J30" s="1" t="s">
        <v>22</v>
      </c>
      <c r="K30" s="1" t="s">
        <v>21</v>
      </c>
      <c r="L30" s="1" t="s">
        <v>21</v>
      </c>
      <c r="M30" s="1" t="s">
        <v>21</v>
      </c>
      <c r="N30" s="1" t="s">
        <v>21</v>
      </c>
      <c r="O30" s="1" t="s">
        <v>21</v>
      </c>
      <c r="P30" s="1" t="s">
        <v>21</v>
      </c>
    </row>
    <row r="31" spans="1:16">
      <c r="A31" s="3">
        <v>408</v>
      </c>
      <c r="B31" s="3" t="s">
        <v>153</v>
      </c>
      <c r="C31" s="3" t="s">
        <v>154</v>
      </c>
      <c r="D31" s="3" t="s">
        <v>155</v>
      </c>
      <c r="E31" s="3" t="s">
        <v>156</v>
      </c>
      <c r="F31" s="3" t="s">
        <v>157</v>
      </c>
      <c r="G31" t="b">
        <f t="shared" si="0"/>
        <v>0</v>
      </c>
      <c r="H31">
        <v>3</v>
      </c>
      <c r="I31" s="1" t="s">
        <v>21</v>
      </c>
      <c r="J31" s="1" t="s">
        <v>21</v>
      </c>
      <c r="K31" s="1" t="s">
        <v>21</v>
      </c>
      <c r="L31" s="1" t="s">
        <v>21</v>
      </c>
      <c r="M31" s="1" t="s">
        <v>22</v>
      </c>
      <c r="N31" s="1" t="s">
        <v>22</v>
      </c>
      <c r="O31" s="1" t="s">
        <v>22</v>
      </c>
      <c r="P31" s="1" t="s">
        <v>21</v>
      </c>
    </row>
    <row r="32" spans="1:16">
      <c r="A32" s="3">
        <v>455</v>
      </c>
      <c r="B32" t="s">
        <v>158</v>
      </c>
      <c r="C32" t="s">
        <v>159</v>
      </c>
      <c r="D32" t="s">
        <v>160</v>
      </c>
      <c r="E32" t="s">
        <v>161</v>
      </c>
      <c r="F32" t="s">
        <v>162</v>
      </c>
      <c r="G32" t="b">
        <f t="shared" si="0"/>
        <v>0</v>
      </c>
      <c r="H32">
        <v>3</v>
      </c>
      <c r="I32" t="s">
        <v>21</v>
      </c>
      <c r="J32" t="s">
        <v>22</v>
      </c>
      <c r="K32" s="1" t="s">
        <v>21</v>
      </c>
      <c r="L32" s="1" t="s">
        <v>22</v>
      </c>
      <c r="M32" s="1" t="s">
        <v>22</v>
      </c>
      <c r="N32" s="1" t="s">
        <v>21</v>
      </c>
      <c r="O32" s="1" t="s">
        <v>21</v>
      </c>
      <c r="P32" s="1" t="s">
        <v>21</v>
      </c>
    </row>
    <row r="33" spans="1:16">
      <c r="A33">
        <v>465</v>
      </c>
      <c r="B33" t="s">
        <v>163</v>
      </c>
      <c r="C33" t="s">
        <v>164</v>
      </c>
      <c r="D33" t="s">
        <v>36</v>
      </c>
      <c r="E33" t="s">
        <v>165</v>
      </c>
      <c r="F33" t="s">
        <v>36</v>
      </c>
      <c r="G33" t="b">
        <f t="shared" si="0"/>
        <v>1</v>
      </c>
      <c r="H33">
        <v>1</v>
      </c>
      <c r="I33" s="1" t="s">
        <v>21</v>
      </c>
      <c r="J33" s="1" t="s">
        <v>21</v>
      </c>
      <c r="K33" s="1" t="s">
        <v>21</v>
      </c>
      <c r="L33" s="1" t="s">
        <v>21</v>
      </c>
      <c r="M33" s="1" t="s">
        <v>22</v>
      </c>
      <c r="N33" s="1" t="s">
        <v>22</v>
      </c>
      <c r="O33" s="1" t="s">
        <v>22</v>
      </c>
      <c r="P33" s="1" t="s">
        <v>21</v>
      </c>
    </row>
    <row r="34" spans="1:16">
      <c r="A34">
        <v>486</v>
      </c>
      <c r="B34" t="s">
        <v>166</v>
      </c>
      <c r="C34" t="s">
        <v>167</v>
      </c>
      <c r="D34" t="s">
        <v>168</v>
      </c>
      <c r="E34" t="s">
        <v>169</v>
      </c>
      <c r="F34" t="s">
        <v>170</v>
      </c>
      <c r="G34" t="b">
        <f t="shared" si="0"/>
        <v>0</v>
      </c>
      <c r="H34">
        <v>5</v>
      </c>
      <c r="I34" s="1" t="s">
        <v>21</v>
      </c>
      <c r="J34" s="1" t="s">
        <v>21</v>
      </c>
      <c r="K34" s="1" t="s">
        <v>21</v>
      </c>
      <c r="L34" s="1" t="s">
        <v>21</v>
      </c>
      <c r="M34" s="1" t="s">
        <v>21</v>
      </c>
      <c r="N34" s="1" t="s">
        <v>21</v>
      </c>
      <c r="O34" s="1" t="s">
        <v>21</v>
      </c>
      <c r="P34" s="1" t="s">
        <v>21</v>
      </c>
    </row>
    <row r="35" spans="1:16">
      <c r="A35">
        <v>548</v>
      </c>
      <c r="B35" t="s">
        <v>171</v>
      </c>
      <c r="C35" t="s">
        <v>172</v>
      </c>
      <c r="D35" t="s">
        <v>173</v>
      </c>
      <c r="E35" t="s">
        <v>174</v>
      </c>
      <c r="F35" t="s">
        <v>36</v>
      </c>
      <c r="G35" t="b">
        <f t="shared" si="0"/>
        <v>1</v>
      </c>
      <c r="H35">
        <v>1</v>
      </c>
      <c r="I35" s="1" t="s">
        <v>22</v>
      </c>
      <c r="J35" s="1" t="s">
        <v>22</v>
      </c>
      <c r="K35" s="1" t="s">
        <v>21</v>
      </c>
      <c r="L35" s="1" t="s">
        <v>22</v>
      </c>
      <c r="M35" s="1" t="s">
        <v>22</v>
      </c>
      <c r="N35" s="1" t="s">
        <v>22</v>
      </c>
      <c r="O35" s="1" t="s">
        <v>22</v>
      </c>
      <c r="P35" s="1" t="s">
        <v>22</v>
      </c>
    </row>
    <row r="36" spans="1:16">
      <c r="A36">
        <v>594</v>
      </c>
      <c r="B36" t="s">
        <v>175</v>
      </c>
      <c r="C36" t="s">
        <v>176</v>
      </c>
      <c r="D36" t="s">
        <v>177</v>
      </c>
      <c r="E36" t="s">
        <v>36</v>
      </c>
      <c r="F36" t="s">
        <v>178</v>
      </c>
      <c r="G36" t="b">
        <f t="shared" si="0"/>
        <v>1</v>
      </c>
      <c r="H36">
        <v>1</v>
      </c>
      <c r="I36" s="1" t="s">
        <v>21</v>
      </c>
      <c r="J36" s="1" t="s">
        <v>22</v>
      </c>
      <c r="K36" s="1" t="s">
        <v>21</v>
      </c>
      <c r="L36" s="1" t="s">
        <v>21</v>
      </c>
      <c r="M36" s="1" t="s">
        <v>21</v>
      </c>
      <c r="N36" s="1" t="s">
        <v>21</v>
      </c>
      <c r="O36" s="1" t="s">
        <v>21</v>
      </c>
      <c r="P36" s="1" t="s">
        <v>21</v>
      </c>
    </row>
    <row r="37" spans="1:16">
      <c r="A37">
        <v>595</v>
      </c>
      <c r="B37" t="s">
        <v>179</v>
      </c>
      <c r="C37" t="s">
        <v>180</v>
      </c>
      <c r="D37" t="s">
        <v>181</v>
      </c>
      <c r="E37" t="s">
        <v>36</v>
      </c>
      <c r="F37" t="s">
        <v>182</v>
      </c>
      <c r="G37" t="b">
        <f t="shared" si="0"/>
        <v>0</v>
      </c>
      <c r="H37">
        <v>5</v>
      </c>
      <c r="I37" s="1" t="s">
        <v>22</v>
      </c>
      <c r="J37" s="1" t="s">
        <v>22</v>
      </c>
      <c r="K37" s="1" t="s">
        <v>21</v>
      </c>
      <c r="L37" s="1" t="s">
        <v>22</v>
      </c>
      <c r="M37" s="1" t="s">
        <v>22</v>
      </c>
      <c r="N37" s="1" t="s">
        <v>22</v>
      </c>
      <c r="O37" s="1" t="s">
        <v>22</v>
      </c>
      <c r="P37" s="1" t="s">
        <v>21</v>
      </c>
    </row>
    <row r="38" spans="1:16">
      <c r="A38">
        <v>616</v>
      </c>
      <c r="B38" t="s">
        <v>183</v>
      </c>
      <c r="C38" t="s">
        <v>184</v>
      </c>
      <c r="D38" t="s">
        <v>185</v>
      </c>
      <c r="E38" t="s">
        <v>186</v>
      </c>
      <c r="F38" t="s">
        <v>187</v>
      </c>
      <c r="G38" t="b">
        <f t="shared" si="0"/>
        <v>0</v>
      </c>
      <c r="H38">
        <v>3</v>
      </c>
      <c r="I38" s="1" t="s">
        <v>21</v>
      </c>
      <c r="J38" s="1" t="s">
        <v>22</v>
      </c>
      <c r="K38" s="1" t="s">
        <v>21</v>
      </c>
      <c r="L38" s="1" t="s">
        <v>21</v>
      </c>
      <c r="M38" s="1" t="s">
        <v>21</v>
      </c>
      <c r="N38" s="1" t="s">
        <v>21</v>
      </c>
      <c r="O38" s="1" t="s">
        <v>21</v>
      </c>
      <c r="P38" s="1" t="s">
        <v>21</v>
      </c>
    </row>
    <row r="39" spans="1:16">
      <c r="A39" s="3">
        <v>626</v>
      </c>
      <c r="B39" s="3" t="s">
        <v>188</v>
      </c>
      <c r="C39" s="3" t="s">
        <v>189</v>
      </c>
      <c r="D39" s="3" t="s">
        <v>190</v>
      </c>
      <c r="E39" s="3" t="s">
        <v>191</v>
      </c>
      <c r="F39" s="3" t="s">
        <v>192</v>
      </c>
      <c r="G39" t="b">
        <f t="shared" si="0"/>
        <v>0</v>
      </c>
      <c r="H39">
        <v>5</v>
      </c>
      <c r="I39" s="1" t="s">
        <v>21</v>
      </c>
      <c r="J39" s="1" t="s">
        <v>21</v>
      </c>
      <c r="K39" s="1" t="s">
        <v>21</v>
      </c>
      <c r="L39" s="1" t="s">
        <v>21</v>
      </c>
      <c r="M39" s="1" t="s">
        <v>21</v>
      </c>
      <c r="N39" s="1" t="s">
        <v>21</v>
      </c>
      <c r="O39" s="1" t="s">
        <v>21</v>
      </c>
      <c r="P39" s="1" t="s">
        <v>21</v>
      </c>
    </row>
    <row r="40" spans="1:16">
      <c r="A40" s="3">
        <v>655</v>
      </c>
      <c r="B40" s="3" t="s">
        <v>193</v>
      </c>
      <c r="C40" s="3" t="s">
        <v>194</v>
      </c>
      <c r="D40" s="3" t="s">
        <v>195</v>
      </c>
      <c r="E40" s="3" t="s">
        <v>196</v>
      </c>
      <c r="F40" s="3" t="s">
        <v>197</v>
      </c>
      <c r="G40" t="b">
        <f t="shared" si="0"/>
        <v>1</v>
      </c>
      <c r="H40">
        <v>1</v>
      </c>
      <c r="I40" s="1" t="s">
        <v>21</v>
      </c>
      <c r="J40" s="1" t="s">
        <v>21</v>
      </c>
      <c r="K40" s="1" t="s">
        <v>21</v>
      </c>
      <c r="L40" s="1" t="s">
        <v>22</v>
      </c>
      <c r="M40" s="1" t="s">
        <v>22</v>
      </c>
      <c r="N40" s="1" t="s">
        <v>21</v>
      </c>
      <c r="O40" s="1" t="s">
        <v>21</v>
      </c>
      <c r="P40" s="1" t="s">
        <v>21</v>
      </c>
    </row>
    <row r="41" spans="1:16">
      <c r="A41">
        <v>681</v>
      </c>
      <c r="B41" t="s">
        <v>198</v>
      </c>
      <c r="C41" t="s">
        <v>199</v>
      </c>
      <c r="D41" t="s">
        <v>200</v>
      </c>
      <c r="E41" t="s">
        <v>201</v>
      </c>
      <c r="F41" t="s">
        <v>202</v>
      </c>
      <c r="G41" t="b">
        <f t="shared" si="0"/>
        <v>0</v>
      </c>
      <c r="H41">
        <v>5</v>
      </c>
      <c r="I41" s="1" t="s">
        <v>21</v>
      </c>
      <c r="J41" s="1" t="s">
        <v>21</v>
      </c>
      <c r="K41" s="1" t="s">
        <v>21</v>
      </c>
      <c r="L41" s="1" t="s">
        <v>21</v>
      </c>
      <c r="M41" s="1" t="s">
        <v>21</v>
      </c>
      <c r="N41" s="1" t="s">
        <v>21</v>
      </c>
      <c r="O41" s="1" t="s">
        <v>21</v>
      </c>
      <c r="P41" s="1" t="s">
        <v>21</v>
      </c>
    </row>
    <row r="42" spans="1:16">
      <c r="A42">
        <v>688</v>
      </c>
      <c r="B42" t="s">
        <v>203</v>
      </c>
      <c r="C42" t="s">
        <v>204</v>
      </c>
      <c r="D42" t="s">
        <v>205</v>
      </c>
      <c r="E42" t="s">
        <v>206</v>
      </c>
      <c r="F42" t="s">
        <v>207</v>
      </c>
      <c r="G42" t="b">
        <f t="shared" si="0"/>
        <v>0</v>
      </c>
      <c r="H42">
        <v>5</v>
      </c>
      <c r="I42" s="1" t="s">
        <v>21</v>
      </c>
      <c r="J42" s="1" t="s">
        <v>21</v>
      </c>
      <c r="K42" s="1" t="s">
        <v>21</v>
      </c>
      <c r="L42" s="1" t="s">
        <v>21</v>
      </c>
      <c r="M42" s="1" t="s">
        <v>22</v>
      </c>
      <c r="N42" s="1" t="s">
        <v>21</v>
      </c>
      <c r="O42" s="1" t="s">
        <v>22</v>
      </c>
      <c r="P42" s="1" t="s">
        <v>21</v>
      </c>
    </row>
    <row r="43" spans="1:16">
      <c r="A43" s="3">
        <v>692</v>
      </c>
      <c r="B43" s="3" t="s">
        <v>208</v>
      </c>
      <c r="C43" s="3" t="s">
        <v>209</v>
      </c>
      <c r="D43" s="3" t="s">
        <v>210</v>
      </c>
      <c r="E43" s="3" t="s">
        <v>211</v>
      </c>
      <c r="F43" s="3" t="s">
        <v>212</v>
      </c>
      <c r="G43" t="b">
        <f t="shared" si="0"/>
        <v>1</v>
      </c>
      <c r="H43">
        <v>1</v>
      </c>
      <c r="I43" s="1" t="s">
        <v>21</v>
      </c>
      <c r="J43" s="1" t="s">
        <v>22</v>
      </c>
      <c r="K43" s="1" t="s">
        <v>21</v>
      </c>
      <c r="L43" s="1" t="s">
        <v>22</v>
      </c>
      <c r="M43" s="1" t="s">
        <v>21</v>
      </c>
      <c r="N43" s="1" t="s">
        <v>21</v>
      </c>
      <c r="O43" s="1" t="s">
        <v>21</v>
      </c>
      <c r="P43" s="1" t="s">
        <v>21</v>
      </c>
    </row>
    <row r="44" spans="1:16">
      <c r="A44">
        <v>732</v>
      </c>
      <c r="B44" t="s">
        <v>213</v>
      </c>
      <c r="C44" t="s">
        <v>214</v>
      </c>
      <c r="D44" t="s">
        <v>215</v>
      </c>
      <c r="E44" t="s">
        <v>216</v>
      </c>
      <c r="F44" t="s">
        <v>217</v>
      </c>
      <c r="G44" t="b">
        <f>IF(H44=1,TRUE,FALSE)</f>
        <v>0</v>
      </c>
      <c r="H44">
        <v>5</v>
      </c>
      <c r="I44" s="1" t="s">
        <v>21</v>
      </c>
      <c r="J44" s="1" t="s">
        <v>21</v>
      </c>
      <c r="K44" s="1" t="s">
        <v>21</v>
      </c>
      <c r="L44" s="1" t="s">
        <v>21</v>
      </c>
      <c r="M44" s="1" t="s">
        <v>21</v>
      </c>
      <c r="N44" s="1" t="s">
        <v>21</v>
      </c>
      <c r="O44" s="1" t="s">
        <v>22</v>
      </c>
      <c r="P44" s="1" t="s">
        <v>21</v>
      </c>
    </row>
    <row r="45" spans="1:16">
      <c r="A45">
        <v>737</v>
      </c>
      <c r="B45" t="s">
        <v>218</v>
      </c>
      <c r="C45" t="s">
        <v>219</v>
      </c>
      <c r="D45" t="s">
        <v>220</v>
      </c>
      <c r="E45" t="s">
        <v>221</v>
      </c>
      <c r="F45" t="s">
        <v>222</v>
      </c>
      <c r="G45" t="b">
        <f>IF(H45=1,TRUE,FALSE)</f>
        <v>0</v>
      </c>
      <c r="H45">
        <v>5</v>
      </c>
      <c r="I45" s="1" t="s">
        <v>21</v>
      </c>
      <c r="J45" s="1" t="s">
        <v>21</v>
      </c>
      <c r="K45" s="1" t="s">
        <v>21</v>
      </c>
      <c r="L45" s="1" t="s">
        <v>21</v>
      </c>
      <c r="M45" s="1" t="s">
        <v>21</v>
      </c>
      <c r="N45" s="1" t="s">
        <v>21</v>
      </c>
      <c r="O45" s="1" t="s">
        <v>22</v>
      </c>
      <c r="P45" s="1" t="s">
        <v>21</v>
      </c>
    </row>
    <row r="46" spans="1:16">
      <c r="A46">
        <v>776</v>
      </c>
      <c r="B46" t="s">
        <v>223</v>
      </c>
      <c r="C46" t="s">
        <v>224</v>
      </c>
      <c r="D46" t="s">
        <v>225</v>
      </c>
      <c r="E46" t="s">
        <v>226</v>
      </c>
      <c r="F46" t="s">
        <v>227</v>
      </c>
      <c r="G46" t="b">
        <f t="shared" si="0"/>
        <v>0</v>
      </c>
      <c r="H46">
        <v>5</v>
      </c>
      <c r="I46" s="1" t="s">
        <v>21</v>
      </c>
      <c r="J46" s="1" t="s">
        <v>21</v>
      </c>
      <c r="K46" s="1" t="s">
        <v>21</v>
      </c>
      <c r="L46" s="1" t="s">
        <v>21</v>
      </c>
      <c r="M46" s="1" t="s">
        <v>21</v>
      </c>
      <c r="N46" s="1" t="s">
        <v>21</v>
      </c>
      <c r="O46" s="1" t="s">
        <v>21</v>
      </c>
      <c r="P46" s="1" t="s">
        <v>21</v>
      </c>
    </row>
    <row r="47" spans="1:16">
      <c r="A47">
        <v>793</v>
      </c>
      <c r="B47" t="s">
        <v>228</v>
      </c>
      <c r="C47" t="s">
        <v>229</v>
      </c>
      <c r="D47" t="s">
        <v>230</v>
      </c>
      <c r="E47" t="s">
        <v>231</v>
      </c>
      <c r="F47" t="s">
        <v>232</v>
      </c>
      <c r="G47" t="b">
        <f t="shared" si="0"/>
        <v>0</v>
      </c>
      <c r="H47">
        <v>5</v>
      </c>
      <c r="I47" s="1" t="s">
        <v>21</v>
      </c>
      <c r="J47" s="1" t="s">
        <v>21</v>
      </c>
      <c r="K47" s="1" t="s">
        <v>21</v>
      </c>
      <c r="L47" s="1" t="s">
        <v>21</v>
      </c>
      <c r="M47" s="1" t="s">
        <v>21</v>
      </c>
      <c r="N47" s="1" t="s">
        <v>21</v>
      </c>
      <c r="O47" s="1" t="s">
        <v>21</v>
      </c>
      <c r="P47" s="1" t="s">
        <v>21</v>
      </c>
    </row>
    <row r="48" spans="1:16">
      <c r="A48">
        <v>800</v>
      </c>
      <c r="B48" t="s">
        <v>233</v>
      </c>
      <c r="C48" t="s">
        <v>234</v>
      </c>
      <c r="D48" t="s">
        <v>235</v>
      </c>
      <c r="E48" t="s">
        <v>236</v>
      </c>
      <c r="F48" t="s">
        <v>237</v>
      </c>
      <c r="G48" t="b">
        <f t="shared" si="0"/>
        <v>0</v>
      </c>
      <c r="H48">
        <v>5</v>
      </c>
      <c r="I48" s="1" t="s">
        <v>21</v>
      </c>
      <c r="J48" t="s">
        <v>21</v>
      </c>
      <c r="K48" t="s">
        <v>21</v>
      </c>
      <c r="L48" s="1" t="s">
        <v>21</v>
      </c>
      <c r="M48" s="1" t="s">
        <v>22</v>
      </c>
      <c r="N48" s="1" t="s">
        <v>21</v>
      </c>
      <c r="O48" s="1" t="s">
        <v>21</v>
      </c>
      <c r="P48" s="1" t="s">
        <v>21</v>
      </c>
    </row>
    <row r="49" spans="1:16">
      <c r="A49">
        <v>802</v>
      </c>
      <c r="B49" t="s">
        <v>238</v>
      </c>
      <c r="C49" t="s">
        <v>239</v>
      </c>
      <c r="D49" t="s">
        <v>36</v>
      </c>
      <c r="E49" t="s">
        <v>240</v>
      </c>
      <c r="F49" t="s">
        <v>36</v>
      </c>
      <c r="G49" t="b">
        <f t="shared" si="0"/>
        <v>1</v>
      </c>
      <c r="H49">
        <v>1</v>
      </c>
      <c r="I49" s="1" t="s">
        <v>21</v>
      </c>
      <c r="J49" s="1" t="s">
        <v>22</v>
      </c>
      <c r="K49" s="1" t="s">
        <v>21</v>
      </c>
      <c r="L49" s="1" t="s">
        <v>22</v>
      </c>
      <c r="M49" s="1" t="s">
        <v>22</v>
      </c>
      <c r="N49" s="1" t="s">
        <v>22</v>
      </c>
      <c r="O49" s="1" t="s">
        <v>22</v>
      </c>
      <c r="P49" s="1" t="s">
        <v>21</v>
      </c>
    </row>
    <row r="50" spans="1:16">
      <c r="A50">
        <v>810</v>
      </c>
      <c r="B50" t="s">
        <v>241</v>
      </c>
      <c r="C50" t="s">
        <v>242</v>
      </c>
      <c r="D50" t="s">
        <v>243</v>
      </c>
      <c r="E50" t="s">
        <v>244</v>
      </c>
      <c r="F50" t="s">
        <v>245</v>
      </c>
      <c r="G50" t="b">
        <f t="shared" si="0"/>
        <v>1</v>
      </c>
      <c r="H50">
        <v>1</v>
      </c>
      <c r="I50" s="1" t="s">
        <v>21</v>
      </c>
      <c r="J50" s="1" t="s">
        <v>21</v>
      </c>
      <c r="K50" s="1" t="s">
        <v>21</v>
      </c>
      <c r="L50" s="1" t="s">
        <v>22</v>
      </c>
      <c r="M50" s="1" t="s">
        <v>22</v>
      </c>
      <c r="N50" s="1" t="s">
        <v>21</v>
      </c>
      <c r="O50" s="1" t="s">
        <v>22</v>
      </c>
      <c r="P50" s="1" t="s">
        <v>21</v>
      </c>
    </row>
    <row r="51" spans="1:16">
      <c r="A51">
        <v>833</v>
      </c>
      <c r="B51" t="s">
        <v>246</v>
      </c>
      <c r="C51" t="s">
        <v>247</v>
      </c>
      <c r="D51" t="s">
        <v>36</v>
      </c>
      <c r="E51" t="s">
        <v>248</v>
      </c>
      <c r="F51" t="s">
        <v>36</v>
      </c>
      <c r="G51" t="b">
        <f t="shared" si="0"/>
        <v>1</v>
      </c>
      <c r="H51">
        <v>1</v>
      </c>
      <c r="I51" s="1" t="s">
        <v>21</v>
      </c>
      <c r="J51" s="1" t="s">
        <v>21</v>
      </c>
      <c r="K51" s="1" t="s">
        <v>21</v>
      </c>
      <c r="L51" s="1" t="s">
        <v>21</v>
      </c>
      <c r="M51" s="1" t="s">
        <v>21</v>
      </c>
      <c r="N51" s="1" t="s">
        <v>21</v>
      </c>
      <c r="O51" s="1" t="s">
        <v>21</v>
      </c>
      <c r="P51" s="1" t="s">
        <v>21</v>
      </c>
    </row>
    <row r="52" spans="1:16">
      <c r="A52">
        <v>846</v>
      </c>
      <c r="B52" t="s">
        <v>249</v>
      </c>
      <c r="C52" t="s">
        <v>250</v>
      </c>
      <c r="D52" t="s">
        <v>251</v>
      </c>
      <c r="E52" t="s">
        <v>252</v>
      </c>
      <c r="F52" t="s">
        <v>253</v>
      </c>
      <c r="G52" t="b">
        <f t="shared" si="0"/>
        <v>0</v>
      </c>
      <c r="H52">
        <v>3</v>
      </c>
      <c r="I52" s="1" t="s">
        <v>21</v>
      </c>
      <c r="J52" s="1" t="s">
        <v>21</v>
      </c>
      <c r="K52" s="1" t="s">
        <v>21</v>
      </c>
      <c r="L52" s="1" t="s">
        <v>21</v>
      </c>
      <c r="M52" s="1" t="s">
        <v>21</v>
      </c>
      <c r="N52" s="1" t="s">
        <v>21</v>
      </c>
      <c r="O52" s="1" t="s">
        <v>22</v>
      </c>
      <c r="P52" s="1" t="s">
        <v>21</v>
      </c>
    </row>
    <row r="53" spans="1:16">
      <c r="A53" s="3">
        <v>852</v>
      </c>
      <c r="B53" s="3" t="s">
        <v>254</v>
      </c>
      <c r="C53" s="3" t="s">
        <v>255</v>
      </c>
      <c r="D53" s="3" t="s">
        <v>256</v>
      </c>
      <c r="E53" s="3" t="s">
        <v>257</v>
      </c>
      <c r="F53" s="3" t="s">
        <v>258</v>
      </c>
      <c r="G53" t="b">
        <f t="shared" si="0"/>
        <v>0</v>
      </c>
      <c r="H53">
        <v>5</v>
      </c>
      <c r="I53" s="1" t="s">
        <v>21</v>
      </c>
      <c r="J53" s="1" t="s">
        <v>22</v>
      </c>
      <c r="K53" s="1" t="s">
        <v>21</v>
      </c>
      <c r="L53" s="1" t="s">
        <v>21</v>
      </c>
      <c r="M53" s="1" t="s">
        <v>21</v>
      </c>
      <c r="N53" s="1" t="s">
        <v>21</v>
      </c>
      <c r="O53" s="1" t="s">
        <v>21</v>
      </c>
      <c r="P53" s="1" t="s">
        <v>21</v>
      </c>
    </row>
    <row r="54" spans="1:16">
      <c r="A54">
        <v>1034</v>
      </c>
      <c r="B54" t="s">
        <v>259</v>
      </c>
      <c r="C54" t="s">
        <v>260</v>
      </c>
      <c r="D54" t="s">
        <v>261</v>
      </c>
      <c r="E54" t="s">
        <v>262</v>
      </c>
      <c r="F54" t="s">
        <v>263</v>
      </c>
      <c r="G54" t="b">
        <f t="shared" si="0"/>
        <v>0</v>
      </c>
      <c r="H54">
        <v>5</v>
      </c>
      <c r="I54" s="1" t="s">
        <v>21</v>
      </c>
      <c r="J54" s="1" t="s">
        <v>22</v>
      </c>
      <c r="K54" s="1" t="s">
        <v>21</v>
      </c>
      <c r="L54" s="1" t="s">
        <v>21</v>
      </c>
      <c r="M54" s="1" t="s">
        <v>22</v>
      </c>
      <c r="N54" s="1" t="s">
        <v>21</v>
      </c>
      <c r="O54" s="1" t="s">
        <v>21</v>
      </c>
      <c r="P54" s="1" t="s">
        <v>21</v>
      </c>
    </row>
    <row r="55" spans="1:16">
      <c r="A55" s="3">
        <v>1043</v>
      </c>
      <c r="B55" s="3" t="s">
        <v>264</v>
      </c>
      <c r="C55" s="3" t="s">
        <v>265</v>
      </c>
      <c r="D55" s="3" t="s">
        <v>266</v>
      </c>
      <c r="E55" s="3" t="s">
        <v>267</v>
      </c>
      <c r="F55" s="3" t="s">
        <v>268</v>
      </c>
      <c r="G55" t="b">
        <f t="shared" si="0"/>
        <v>0</v>
      </c>
      <c r="H55">
        <v>5</v>
      </c>
      <c r="I55" s="1" t="s">
        <v>21</v>
      </c>
      <c r="J55" s="1" t="s">
        <v>21</v>
      </c>
      <c r="K55" s="1" t="s">
        <v>21</v>
      </c>
      <c r="L55" s="1" t="s">
        <v>21</v>
      </c>
      <c r="M55" s="1" t="s">
        <v>21</v>
      </c>
      <c r="N55" s="1" t="s">
        <v>21</v>
      </c>
      <c r="O55" s="1" t="s">
        <v>21</v>
      </c>
      <c r="P55" s="1" t="s">
        <v>21</v>
      </c>
    </row>
    <row r="56" spans="1:16">
      <c r="A56">
        <v>1089</v>
      </c>
      <c r="B56" t="s">
        <v>269</v>
      </c>
      <c r="C56" t="s">
        <v>270</v>
      </c>
      <c r="D56" t="s">
        <v>271</v>
      </c>
      <c r="E56" t="s">
        <v>272</v>
      </c>
      <c r="F56" t="s">
        <v>273</v>
      </c>
      <c r="G56" t="b">
        <f t="shared" si="0"/>
        <v>0</v>
      </c>
      <c r="H56">
        <v>5</v>
      </c>
      <c r="I56" s="1" t="s">
        <v>21</v>
      </c>
      <c r="J56" s="1" t="s">
        <v>22</v>
      </c>
      <c r="K56" s="1" t="s">
        <v>21</v>
      </c>
      <c r="L56" s="1" t="s">
        <v>21</v>
      </c>
      <c r="M56" s="1" t="s">
        <v>23</v>
      </c>
      <c r="N56" s="1" t="s">
        <v>23</v>
      </c>
      <c r="O56" s="1" t="s">
        <v>23</v>
      </c>
      <c r="P56" s="1" t="s">
        <v>21</v>
      </c>
    </row>
    <row r="57" spans="1:16">
      <c r="A57">
        <v>1101</v>
      </c>
      <c r="B57" t="s">
        <v>274</v>
      </c>
      <c r="C57" t="s">
        <v>275</v>
      </c>
      <c r="D57" t="s">
        <v>276</v>
      </c>
      <c r="E57" t="s">
        <v>277</v>
      </c>
      <c r="F57" t="s">
        <v>278</v>
      </c>
      <c r="G57" t="b">
        <f t="shared" si="0"/>
        <v>0</v>
      </c>
      <c r="H57">
        <v>5</v>
      </c>
      <c r="I57" s="1" t="s">
        <v>21</v>
      </c>
      <c r="J57" s="1" t="s">
        <v>21</v>
      </c>
      <c r="K57" s="1" t="s">
        <v>21</v>
      </c>
      <c r="L57" s="1" t="s">
        <v>21</v>
      </c>
      <c r="M57" s="1" t="s">
        <v>23</v>
      </c>
      <c r="N57" s="1" t="s">
        <v>23</v>
      </c>
      <c r="O57" s="1" t="s">
        <v>21</v>
      </c>
      <c r="P57" s="1" t="s">
        <v>21</v>
      </c>
    </row>
    <row r="58" spans="1:16">
      <c r="A58">
        <v>1115</v>
      </c>
      <c r="B58" t="s">
        <v>279</v>
      </c>
      <c r="C58" t="s">
        <v>280</v>
      </c>
      <c r="D58" t="s">
        <v>281</v>
      </c>
      <c r="E58" t="s">
        <v>282</v>
      </c>
      <c r="F58" t="s">
        <v>283</v>
      </c>
      <c r="G58" t="b">
        <f t="shared" si="0"/>
        <v>0</v>
      </c>
      <c r="H58">
        <v>5</v>
      </c>
      <c r="I58" s="1" t="s">
        <v>21</v>
      </c>
      <c r="J58" s="1" t="s">
        <v>21</v>
      </c>
      <c r="K58" s="1" t="s">
        <v>21</v>
      </c>
      <c r="L58" s="1" t="s">
        <v>21</v>
      </c>
      <c r="M58" s="1" t="s">
        <v>21</v>
      </c>
      <c r="N58" s="1" t="s">
        <v>21</v>
      </c>
      <c r="O58" s="1" t="s">
        <v>22</v>
      </c>
      <c r="P58" s="1" t="s">
        <v>21</v>
      </c>
    </row>
    <row r="59" spans="1:16">
      <c r="A59" s="3">
        <v>1155</v>
      </c>
      <c r="B59" s="3" t="s">
        <v>284</v>
      </c>
      <c r="C59" s="3" t="s">
        <v>285</v>
      </c>
      <c r="D59" s="3" t="s">
        <v>286</v>
      </c>
      <c r="E59" s="3" t="s">
        <v>287</v>
      </c>
      <c r="F59" s="3" t="s">
        <v>288</v>
      </c>
      <c r="G59" t="b">
        <f t="shared" si="0"/>
        <v>1</v>
      </c>
      <c r="H59">
        <v>1</v>
      </c>
      <c r="I59" s="1" t="s">
        <v>21</v>
      </c>
      <c r="J59" s="1" t="s">
        <v>22</v>
      </c>
      <c r="K59" s="1" t="s">
        <v>21</v>
      </c>
      <c r="L59" s="1" t="s">
        <v>21</v>
      </c>
      <c r="M59" s="1" t="s">
        <v>22</v>
      </c>
      <c r="N59" s="1" t="s">
        <v>22</v>
      </c>
      <c r="O59" s="1" t="s">
        <v>22</v>
      </c>
      <c r="P59" s="1" t="s">
        <v>21</v>
      </c>
    </row>
    <row r="60" spans="1:16">
      <c r="A60" s="3">
        <v>1166</v>
      </c>
      <c r="B60" s="3" t="s">
        <v>289</v>
      </c>
      <c r="C60" s="3" t="s">
        <v>290</v>
      </c>
      <c r="D60" s="3" t="s">
        <v>291</v>
      </c>
      <c r="E60" s="3" t="s">
        <v>292</v>
      </c>
      <c r="F60" s="3" t="s">
        <v>293</v>
      </c>
      <c r="G60" t="b">
        <f t="shared" si="0"/>
        <v>0</v>
      </c>
      <c r="H60">
        <v>5</v>
      </c>
      <c r="I60" s="1" t="s">
        <v>21</v>
      </c>
      <c r="J60" s="1" t="s">
        <v>21</v>
      </c>
      <c r="K60" s="1" t="s">
        <v>21</v>
      </c>
      <c r="L60" s="1" t="s">
        <v>21</v>
      </c>
      <c r="M60" s="1" t="s">
        <v>22</v>
      </c>
      <c r="N60" s="1" t="s">
        <v>22</v>
      </c>
      <c r="O60" s="1" t="s">
        <v>22</v>
      </c>
      <c r="P60" s="1" t="s">
        <v>21</v>
      </c>
    </row>
    <row r="61" spans="1:16">
      <c r="A61">
        <v>1171</v>
      </c>
      <c r="B61" t="s">
        <v>294</v>
      </c>
      <c r="C61" t="s">
        <v>295</v>
      </c>
      <c r="D61" t="s">
        <v>296</v>
      </c>
      <c r="E61" t="s">
        <v>297</v>
      </c>
      <c r="F61" t="s">
        <v>298</v>
      </c>
      <c r="G61" t="b">
        <f t="shared" si="0"/>
        <v>0</v>
      </c>
      <c r="H61">
        <v>5</v>
      </c>
      <c r="I61" t="s">
        <v>21</v>
      </c>
      <c r="J61" s="1" t="s">
        <v>21</v>
      </c>
      <c r="K61" s="1" t="s">
        <v>21</v>
      </c>
      <c r="L61" s="1" t="s">
        <v>21</v>
      </c>
      <c r="M61" s="1" t="s">
        <v>22</v>
      </c>
      <c r="N61" s="1" t="s">
        <v>21</v>
      </c>
      <c r="O61" s="1" t="s">
        <v>22</v>
      </c>
      <c r="P61" s="1" t="s">
        <v>22</v>
      </c>
    </row>
    <row r="62" spans="1:16">
      <c r="A62">
        <v>1211</v>
      </c>
      <c r="B62" t="s">
        <v>299</v>
      </c>
      <c r="C62" t="s">
        <v>300</v>
      </c>
      <c r="D62" t="s">
        <v>301</v>
      </c>
      <c r="E62" t="s">
        <v>302</v>
      </c>
      <c r="F62" t="s">
        <v>303</v>
      </c>
      <c r="G62" t="b">
        <f t="shared" si="0"/>
        <v>0</v>
      </c>
      <c r="H62">
        <v>5</v>
      </c>
      <c r="I62" t="s">
        <v>21</v>
      </c>
      <c r="J62" s="1" t="s">
        <v>22</v>
      </c>
      <c r="K62" s="1" t="s">
        <v>21</v>
      </c>
      <c r="L62" s="1" t="s">
        <v>22</v>
      </c>
      <c r="M62" s="1" t="s">
        <v>22</v>
      </c>
      <c r="N62" s="1" t="s">
        <v>21</v>
      </c>
      <c r="O62" s="1" t="s">
        <v>21</v>
      </c>
      <c r="P62" s="1" t="s">
        <v>21</v>
      </c>
    </row>
    <row r="63" spans="1:16">
      <c r="A63">
        <v>1217</v>
      </c>
      <c r="B63" t="s">
        <v>304</v>
      </c>
      <c r="C63" t="s">
        <v>305</v>
      </c>
      <c r="D63" t="s">
        <v>306</v>
      </c>
      <c r="E63" t="s">
        <v>307</v>
      </c>
      <c r="F63" t="s">
        <v>308</v>
      </c>
      <c r="G63" t="b">
        <f t="shared" si="0"/>
        <v>0</v>
      </c>
      <c r="H63">
        <v>5</v>
      </c>
      <c r="I63" s="1" t="s">
        <v>21</v>
      </c>
      <c r="J63" s="1" t="s">
        <v>21</v>
      </c>
      <c r="K63" s="1" t="s">
        <v>21</v>
      </c>
      <c r="L63" s="1" t="s">
        <v>21</v>
      </c>
      <c r="M63" s="1" t="s">
        <v>21</v>
      </c>
      <c r="N63" s="1" t="s">
        <v>21</v>
      </c>
      <c r="O63" s="1" t="s">
        <v>21</v>
      </c>
      <c r="P63" s="1" t="s">
        <v>21</v>
      </c>
    </row>
    <row r="64" spans="1:16">
      <c r="A64">
        <v>1242</v>
      </c>
      <c r="B64" t="s">
        <v>309</v>
      </c>
      <c r="C64" t="s">
        <v>310</v>
      </c>
      <c r="D64" t="s">
        <v>36</v>
      </c>
      <c r="E64" t="s">
        <v>311</v>
      </c>
      <c r="F64" t="s">
        <v>36</v>
      </c>
      <c r="G64" t="b">
        <f t="shared" si="0"/>
        <v>1</v>
      </c>
      <c r="H64">
        <v>1</v>
      </c>
      <c r="I64" s="1" t="s">
        <v>21</v>
      </c>
      <c r="J64" s="1" t="s">
        <v>21</v>
      </c>
      <c r="K64" s="1" t="s">
        <v>21</v>
      </c>
      <c r="L64" s="1" t="s">
        <v>21</v>
      </c>
      <c r="M64" s="1" t="s">
        <v>312</v>
      </c>
      <c r="N64" s="1" t="s">
        <v>312</v>
      </c>
      <c r="O64" s="1" t="s">
        <v>312</v>
      </c>
      <c r="P64" s="1" t="s">
        <v>21</v>
      </c>
    </row>
    <row r="65" spans="1:16">
      <c r="A65">
        <v>1247</v>
      </c>
      <c r="B65" t="s">
        <v>313</v>
      </c>
      <c r="C65" t="s">
        <v>314</v>
      </c>
      <c r="D65" t="s">
        <v>315</v>
      </c>
      <c r="E65" t="s">
        <v>316</v>
      </c>
      <c r="F65" t="s">
        <v>317</v>
      </c>
      <c r="G65" t="b">
        <f t="shared" si="0"/>
        <v>0</v>
      </c>
      <c r="H65">
        <v>4</v>
      </c>
      <c r="I65" s="1" t="s">
        <v>21</v>
      </c>
      <c r="J65" s="1" t="s">
        <v>21</v>
      </c>
      <c r="K65" s="1" t="s">
        <v>21</v>
      </c>
      <c r="L65" s="1" t="s">
        <v>21</v>
      </c>
      <c r="M65" s="1" t="s">
        <v>312</v>
      </c>
      <c r="N65" s="1" t="s">
        <v>312</v>
      </c>
      <c r="O65" s="1" t="s">
        <v>312</v>
      </c>
      <c r="P65" s="1" t="s">
        <v>21</v>
      </c>
    </row>
    <row r="66" spans="1:16">
      <c r="A66" s="3">
        <v>1252</v>
      </c>
      <c r="B66" s="3" t="s">
        <v>318</v>
      </c>
      <c r="C66" s="3" t="s">
        <v>319</v>
      </c>
      <c r="D66" s="3" t="s">
        <v>320</v>
      </c>
      <c r="E66" s="3" t="s">
        <v>36</v>
      </c>
      <c r="F66" s="3" t="s">
        <v>321</v>
      </c>
      <c r="G66" t="b">
        <f t="shared" si="0"/>
        <v>1</v>
      </c>
      <c r="H66">
        <v>1</v>
      </c>
      <c r="I66" s="1" t="s">
        <v>21</v>
      </c>
      <c r="J66" s="1" t="s">
        <v>22</v>
      </c>
      <c r="K66" s="1" t="s">
        <v>21</v>
      </c>
      <c r="L66" s="1" t="s">
        <v>21</v>
      </c>
      <c r="M66" s="1" t="s">
        <v>21</v>
      </c>
      <c r="N66" s="1" t="s">
        <v>21</v>
      </c>
      <c r="O66" s="1" t="s">
        <v>22</v>
      </c>
      <c r="P66" s="1" t="s">
        <v>21</v>
      </c>
    </row>
    <row r="67" spans="1:16">
      <c r="A67">
        <v>1263</v>
      </c>
      <c r="B67" t="s">
        <v>322</v>
      </c>
      <c r="C67" t="s">
        <v>323</v>
      </c>
      <c r="D67" t="s">
        <v>324</v>
      </c>
      <c r="E67" t="s">
        <v>325</v>
      </c>
      <c r="F67" t="s">
        <v>326</v>
      </c>
      <c r="G67" t="b">
        <f t="shared" ref="G67:G78" si="1">IF(H67=1,TRUE,FALSE)</f>
        <v>0</v>
      </c>
      <c r="H67">
        <v>5</v>
      </c>
      <c r="I67" s="1" t="s">
        <v>21</v>
      </c>
      <c r="J67" s="1" t="s">
        <v>21</v>
      </c>
      <c r="K67" s="1" t="s">
        <v>21</v>
      </c>
      <c r="L67" s="1" t="s">
        <v>21</v>
      </c>
      <c r="M67" s="1" t="s">
        <v>21</v>
      </c>
      <c r="N67" s="1" t="s">
        <v>21</v>
      </c>
      <c r="O67" s="1" t="s">
        <v>21</v>
      </c>
      <c r="P67" s="1" t="s">
        <v>21</v>
      </c>
    </row>
    <row r="68" spans="1:16">
      <c r="A68">
        <v>1267</v>
      </c>
      <c r="B68" t="s">
        <v>327</v>
      </c>
      <c r="C68" t="s">
        <v>328</v>
      </c>
      <c r="D68" t="s">
        <v>329</v>
      </c>
      <c r="E68" t="s">
        <v>330</v>
      </c>
      <c r="F68" t="s">
        <v>331</v>
      </c>
      <c r="G68" t="b">
        <f t="shared" si="1"/>
        <v>1</v>
      </c>
      <c r="H68">
        <v>1</v>
      </c>
      <c r="I68" s="1" t="s">
        <v>21</v>
      </c>
      <c r="J68" s="1" t="s">
        <v>21</v>
      </c>
      <c r="K68" s="1" t="s">
        <v>21</v>
      </c>
      <c r="L68" s="1" t="s">
        <v>21</v>
      </c>
      <c r="M68" s="1" t="s">
        <v>21</v>
      </c>
      <c r="N68" s="1" t="s">
        <v>21</v>
      </c>
      <c r="O68" s="1" t="s">
        <v>21</v>
      </c>
      <c r="P68" s="1" t="s">
        <v>21</v>
      </c>
    </row>
    <row r="69" spans="1:16">
      <c r="A69" s="3">
        <v>1269</v>
      </c>
      <c r="B69" s="3" t="s">
        <v>332</v>
      </c>
      <c r="C69" s="3" t="s">
        <v>333</v>
      </c>
      <c r="D69" s="3" t="s">
        <v>334</v>
      </c>
      <c r="E69" s="3" t="s">
        <v>36</v>
      </c>
      <c r="F69" s="3" t="s">
        <v>335</v>
      </c>
      <c r="G69" t="b">
        <f t="shared" si="1"/>
        <v>1</v>
      </c>
      <c r="H69">
        <v>1</v>
      </c>
      <c r="I69" s="1" t="s">
        <v>21</v>
      </c>
      <c r="J69" s="1" t="s">
        <v>21</v>
      </c>
      <c r="K69" s="1" t="s">
        <v>21</v>
      </c>
      <c r="L69" s="1" t="s">
        <v>22</v>
      </c>
      <c r="M69" s="1" t="s">
        <v>22</v>
      </c>
      <c r="N69" s="1" t="s">
        <v>21</v>
      </c>
      <c r="O69" s="1" t="s">
        <v>21</v>
      </c>
      <c r="P69" s="1" t="s">
        <v>21</v>
      </c>
    </row>
    <row r="70" spans="1:16">
      <c r="A70">
        <v>1270</v>
      </c>
      <c r="B70" t="s">
        <v>336</v>
      </c>
      <c r="C70" t="s">
        <v>337</v>
      </c>
      <c r="D70" t="s">
        <v>338</v>
      </c>
      <c r="E70" t="s">
        <v>339</v>
      </c>
      <c r="F70" t="s">
        <v>340</v>
      </c>
      <c r="G70" t="b">
        <f t="shared" si="1"/>
        <v>0</v>
      </c>
      <c r="H70">
        <v>5</v>
      </c>
      <c r="I70" s="1" t="s">
        <v>21</v>
      </c>
      <c r="J70" s="1" t="s">
        <v>21</v>
      </c>
      <c r="K70" s="1" t="s">
        <v>21</v>
      </c>
      <c r="L70" s="1" t="s">
        <v>21</v>
      </c>
      <c r="M70" s="1" t="s">
        <v>21</v>
      </c>
      <c r="N70" s="1" t="s">
        <v>21</v>
      </c>
      <c r="O70" s="1" t="s">
        <v>21</v>
      </c>
      <c r="P70" s="1" t="s">
        <v>21</v>
      </c>
    </row>
    <row r="71" spans="1:16">
      <c r="A71">
        <v>1275</v>
      </c>
      <c r="B71" t="s">
        <v>341</v>
      </c>
      <c r="C71" t="s">
        <v>342</v>
      </c>
      <c r="D71" t="s">
        <v>343</v>
      </c>
      <c r="E71" t="s">
        <v>344</v>
      </c>
      <c r="F71" t="s">
        <v>345</v>
      </c>
      <c r="G71" t="b">
        <f t="shared" si="1"/>
        <v>0</v>
      </c>
      <c r="H71">
        <v>5</v>
      </c>
      <c r="I71" s="1" t="s">
        <v>21</v>
      </c>
      <c r="J71" s="1" t="s">
        <v>21</v>
      </c>
      <c r="K71" s="1" t="s">
        <v>21</v>
      </c>
      <c r="L71" s="1" t="s">
        <v>21</v>
      </c>
      <c r="M71" s="1" t="s">
        <v>21</v>
      </c>
      <c r="N71" s="1" t="s">
        <v>21</v>
      </c>
      <c r="O71" s="1" t="s">
        <v>21</v>
      </c>
      <c r="P71" s="1" t="s">
        <v>21</v>
      </c>
    </row>
    <row r="72" spans="1:16">
      <c r="A72" s="3">
        <v>1302</v>
      </c>
      <c r="B72" s="3" t="s">
        <v>346</v>
      </c>
      <c r="C72" s="3" t="s">
        <v>347</v>
      </c>
      <c r="D72" s="3" t="s">
        <v>348</v>
      </c>
      <c r="E72" s="3" t="s">
        <v>349</v>
      </c>
      <c r="F72" s="3" t="s">
        <v>350</v>
      </c>
      <c r="G72" t="b">
        <f t="shared" si="1"/>
        <v>0</v>
      </c>
      <c r="H72">
        <v>5</v>
      </c>
      <c r="I72" s="1" t="s">
        <v>21</v>
      </c>
      <c r="J72" s="1" t="s">
        <v>21</v>
      </c>
      <c r="K72" s="1" t="s">
        <v>21</v>
      </c>
      <c r="L72" s="1" t="s">
        <v>21</v>
      </c>
      <c r="M72" s="1" t="s">
        <v>21</v>
      </c>
      <c r="N72" s="1" t="s">
        <v>21</v>
      </c>
      <c r="O72" s="1" t="s">
        <v>21</v>
      </c>
      <c r="P72" s="1" t="s">
        <v>21</v>
      </c>
    </row>
    <row r="73" spans="1:16">
      <c r="A73">
        <v>1310</v>
      </c>
      <c r="B73" t="s">
        <v>351</v>
      </c>
      <c r="C73" t="s">
        <v>352</v>
      </c>
      <c r="D73" t="s">
        <v>353</v>
      </c>
      <c r="E73" t="s">
        <v>354</v>
      </c>
      <c r="F73" t="s">
        <v>355</v>
      </c>
      <c r="G73" t="b">
        <f t="shared" si="1"/>
        <v>0</v>
      </c>
      <c r="H73">
        <v>5</v>
      </c>
      <c r="I73" s="1" t="s">
        <v>21</v>
      </c>
      <c r="J73" t="s">
        <v>356</v>
      </c>
      <c r="K73" t="s">
        <v>356</v>
      </c>
      <c r="L73" s="1" t="s">
        <v>21</v>
      </c>
      <c r="M73" s="1" t="s">
        <v>21</v>
      </c>
      <c r="N73" s="1" t="s">
        <v>21</v>
      </c>
      <c r="O73" s="1" t="s">
        <v>21</v>
      </c>
      <c r="P73" s="1" t="s">
        <v>21</v>
      </c>
    </row>
    <row r="74" spans="1:16">
      <c r="A74" s="3">
        <v>1328</v>
      </c>
      <c r="B74" t="s">
        <v>357</v>
      </c>
      <c r="C74" t="s">
        <v>358</v>
      </c>
      <c r="D74" t="s">
        <v>359</v>
      </c>
      <c r="E74" t="s">
        <v>360</v>
      </c>
      <c r="F74" t="s">
        <v>361</v>
      </c>
      <c r="G74" t="b">
        <f t="shared" si="1"/>
        <v>0</v>
      </c>
      <c r="H74">
        <v>5</v>
      </c>
      <c r="I74" s="1" t="s">
        <v>21</v>
      </c>
      <c r="J74" s="1" t="s">
        <v>21</v>
      </c>
      <c r="K74" s="1" t="s">
        <v>21</v>
      </c>
      <c r="L74" s="1" t="s">
        <v>21</v>
      </c>
      <c r="M74" s="1" t="s">
        <v>22</v>
      </c>
      <c r="N74" s="1" t="s">
        <v>22</v>
      </c>
      <c r="O74" s="1" t="s">
        <v>312</v>
      </c>
      <c r="P74" s="1" t="s">
        <v>21</v>
      </c>
    </row>
    <row r="75" spans="1:16">
      <c r="A75" s="3">
        <v>1330</v>
      </c>
      <c r="B75" s="3" t="s">
        <v>362</v>
      </c>
      <c r="C75" s="3" t="s">
        <v>44</v>
      </c>
      <c r="D75" s="3" t="s">
        <v>363</v>
      </c>
      <c r="E75" s="3" t="s">
        <v>364</v>
      </c>
      <c r="F75" s="3" t="s">
        <v>365</v>
      </c>
      <c r="G75" t="b">
        <f t="shared" si="1"/>
        <v>0</v>
      </c>
      <c r="H75">
        <v>5</v>
      </c>
      <c r="I75" s="1" t="s">
        <v>21</v>
      </c>
      <c r="J75" s="1" t="s">
        <v>21</v>
      </c>
      <c r="K75" s="1" t="s">
        <v>21</v>
      </c>
      <c r="L75" s="1" t="s">
        <v>21</v>
      </c>
      <c r="M75" s="1" t="s">
        <v>21</v>
      </c>
      <c r="N75" s="1" t="s">
        <v>21</v>
      </c>
      <c r="O75" s="1" t="s">
        <v>21</v>
      </c>
      <c r="P75" s="1" t="s">
        <v>21</v>
      </c>
    </row>
    <row r="76" spans="1:16">
      <c r="A76">
        <v>1341</v>
      </c>
      <c r="B76" t="s">
        <v>366</v>
      </c>
      <c r="C76" t="s">
        <v>367</v>
      </c>
      <c r="D76" t="s">
        <v>368</v>
      </c>
      <c r="E76" t="s">
        <v>369</v>
      </c>
      <c r="F76" t="s">
        <v>370</v>
      </c>
      <c r="G76" t="b">
        <f t="shared" si="1"/>
        <v>0</v>
      </c>
      <c r="H76">
        <v>5</v>
      </c>
      <c r="I76" s="1" t="s">
        <v>21</v>
      </c>
      <c r="J76" s="1" t="s">
        <v>21</v>
      </c>
      <c r="K76" s="1" t="s">
        <v>21</v>
      </c>
      <c r="L76" s="1" t="s">
        <v>21</v>
      </c>
      <c r="M76" s="1" t="s">
        <v>22</v>
      </c>
      <c r="N76" s="1" t="s">
        <v>21</v>
      </c>
      <c r="O76" s="1" t="s">
        <v>21</v>
      </c>
      <c r="P76" s="1" t="s">
        <v>21</v>
      </c>
    </row>
    <row r="77" spans="1:16">
      <c r="A77">
        <v>1344</v>
      </c>
      <c r="B77" t="s">
        <v>371</v>
      </c>
      <c r="C77" t="s">
        <v>372</v>
      </c>
      <c r="D77" t="s">
        <v>373</v>
      </c>
      <c r="E77" t="s">
        <v>374</v>
      </c>
      <c r="F77" t="s">
        <v>375</v>
      </c>
      <c r="G77" t="b">
        <f t="shared" si="1"/>
        <v>0</v>
      </c>
      <c r="H77">
        <v>5</v>
      </c>
      <c r="I77" s="1" t="s">
        <v>21</v>
      </c>
      <c r="J77" s="1" t="s">
        <v>21</v>
      </c>
      <c r="K77" s="1" t="s">
        <v>21</v>
      </c>
      <c r="L77" s="1" t="s">
        <v>21</v>
      </c>
      <c r="M77" s="1" t="s">
        <v>21</v>
      </c>
      <c r="N77" s="1" t="s">
        <v>21</v>
      </c>
      <c r="O77" s="1" t="s">
        <v>21</v>
      </c>
      <c r="P77" s="1" t="s">
        <v>21</v>
      </c>
    </row>
    <row r="78" spans="1:16">
      <c r="A78">
        <v>1355</v>
      </c>
      <c r="B78" t="s">
        <v>376</v>
      </c>
      <c r="C78" t="s">
        <v>377</v>
      </c>
      <c r="D78" t="s">
        <v>378</v>
      </c>
      <c r="E78" t="s">
        <v>379</v>
      </c>
      <c r="F78" t="s">
        <v>380</v>
      </c>
      <c r="G78" t="b">
        <f t="shared" si="1"/>
        <v>0</v>
      </c>
      <c r="H78">
        <v>5</v>
      </c>
      <c r="I78" s="1" t="s">
        <v>21</v>
      </c>
      <c r="J78" s="1" t="s">
        <v>21</v>
      </c>
      <c r="K78" s="1" t="s">
        <v>21</v>
      </c>
      <c r="L78" s="1" t="s">
        <v>21</v>
      </c>
      <c r="M78" s="1" t="s">
        <v>21</v>
      </c>
      <c r="N78" s="1" t="s">
        <v>21</v>
      </c>
      <c r="O78" s="1" t="s">
        <v>21</v>
      </c>
      <c r="P78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Chang, Alexander W.</cp:lastModifiedBy>
  <cp:revision/>
  <dcterms:created xsi:type="dcterms:W3CDTF">2024-12-12T20:49:12Z</dcterms:created>
  <dcterms:modified xsi:type="dcterms:W3CDTF">2024-12-20T20:10:48Z</dcterms:modified>
  <cp:category/>
  <cp:contentStatus/>
</cp:coreProperties>
</file>